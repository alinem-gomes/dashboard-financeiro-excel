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gome\OneDrive\Desktop\Tabelas teste\"/>
    </mc:Choice>
  </mc:AlternateContent>
  <xr:revisionPtr revIDLastSave="0" documentId="13_ncr:1_{69C1D473-6E53-41A6-9C3B-0775C27CDD9B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lanilha4" sheetId="6" r:id="rId1"/>
    <sheet name="Planilha5" sheetId="7" r:id="rId2"/>
    <sheet name="Planilha6" sheetId="8" r:id="rId3"/>
    <sheet name="DESPESAS - MATRIZ" sheetId="1" r:id="rId4"/>
    <sheet name="DESPESAS - FILIAL" sheetId="2" r:id="rId5"/>
    <sheet name="DASHBOARD" sheetId="4" r:id="rId6"/>
    <sheet name="Planilha2" sheetId="11" r:id="rId7"/>
    <sheet name="BASE" sheetId="10" r:id="rId8"/>
  </sheets>
  <definedNames>
    <definedName name="NativeTimeline_DATA">#N/A</definedName>
    <definedName name="SegmentaçãodeDados_DATA">#N/A</definedName>
    <definedName name="SegmentaçãodeDados_FORNECEDOR1">#N/A</definedName>
    <definedName name="SegmentaçãodeDados_PAGADOR1">#N/A</definedName>
  </definedNames>
  <calcPr calcId="191029"/>
  <pivotCaches>
    <pivotCache cacheId="15" r:id="rId9"/>
    <pivotCache cacheId="2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I6" i="4"/>
  <c r="B3" i="4"/>
  <c r="F4" i="2"/>
</calcChain>
</file>

<file path=xl/sharedStrings.xml><?xml version="1.0" encoding="utf-8"?>
<sst xmlns="http://schemas.openxmlformats.org/spreadsheetml/2006/main" count="1924" uniqueCount="621">
  <si>
    <t>DATA</t>
  </si>
  <si>
    <t>FORNECEDOR</t>
  </si>
  <si>
    <t>DESPESAS</t>
  </si>
  <si>
    <t>CÓD DE LANÇ.</t>
  </si>
  <si>
    <t>TOTAL</t>
  </si>
  <si>
    <t>PAGADOR</t>
  </si>
  <si>
    <t xml:space="preserve">DESPESAS - GERAL          MAIO/2026                          </t>
  </si>
  <si>
    <t>JUROS DE DESCONTO DE CHEQUES</t>
  </si>
  <si>
    <t>COMPRA DE MADEIRA CH 946</t>
  </si>
  <si>
    <t>COMPRA DE MADEIRA SERRADA CH 1009</t>
  </si>
  <si>
    <t>FRETE + COMPRA DE MADEIRA CH 826</t>
  </si>
  <si>
    <t>FRETE + COMPRA DE MADEIRA CH 914</t>
  </si>
  <si>
    <t>FRETE + COMPRA DE MADEIRA CH 829</t>
  </si>
  <si>
    <t>FRETE + COMPRA DE MADEIRA CH 930</t>
  </si>
  <si>
    <t>BORDERÔ PARA DESCONTO DE CHEQUES</t>
  </si>
  <si>
    <t>COMPRA DE MADEIRA CH 1015</t>
  </si>
  <si>
    <t>FRETE + COMPRA DE MADEIRA CH 1021</t>
  </si>
  <si>
    <t>FRETE + COMPRA DE MADEIRA CH 926</t>
  </si>
  <si>
    <t>ABASTECIMENTO</t>
  </si>
  <si>
    <t>ABASTECIMENTO - CAMINHÃO TOCO</t>
  </si>
  <si>
    <t>VIAÇÃO RIO DOCE</t>
  </si>
  <si>
    <t>ABASTECIMENTO - POLO</t>
  </si>
  <si>
    <t>SEBASTIÃO DE SOUZA NETO</t>
  </si>
  <si>
    <t>MINISTÉRIO DA JUSTIÇA - MULTA</t>
  </si>
  <si>
    <t>SEM PARAR - PEDÁGIO</t>
  </si>
  <si>
    <t>FRETE DE COMPRA DE MADEIRA - PIX</t>
  </si>
  <si>
    <t>CARTÃO DE CRÉDITO - COMPRA DE GELO</t>
  </si>
  <si>
    <t>CARTÃO DE CRÉDITO - EMBALAGENS MURIAÉ</t>
  </si>
  <si>
    <t>CARTÃO DE CRÉDITO - EMPÓRIO LÍDER</t>
  </si>
  <si>
    <t>AGROMAIS - EMENDA MANGUEIRA</t>
  </si>
  <si>
    <t>ARXADA NF 59330</t>
  </si>
  <si>
    <t>ARXADA NF 59625</t>
  </si>
  <si>
    <t>SANTOS E FERREIRA DE BEM</t>
  </si>
  <si>
    <t>COMPRA DE CUMEEIRA (13M DE 60CM)</t>
  </si>
  <si>
    <t>FRANK AUTO TRUCK</t>
  </si>
  <si>
    <t>BARTOFIL NF8180399</t>
  </si>
  <si>
    <t>JAMEL MORAIS CARVALHO REZENDE</t>
  </si>
  <si>
    <t>SAMUEL JORGE SANTANA DA COSTA</t>
  </si>
  <si>
    <t>PEDRO PAULO DE OLIVEIRA VENTURA</t>
  </si>
  <si>
    <t>CONSELHO REGIONAL DE ENGENHARIA E AGRONOMIA DE MINAS GERAIS</t>
  </si>
  <si>
    <t>ABASTECIMENTO - MÁQUINAS</t>
  </si>
  <si>
    <t>ATACADÃO DAS RAÇÕES</t>
  </si>
  <si>
    <t>ARXADA NF 59155</t>
  </si>
  <si>
    <t>GERALDO RODRIGUES DE SOUZA</t>
  </si>
  <si>
    <t>FRETE DE COMPRA DE MADEIRA</t>
  </si>
  <si>
    <t>MARCELO VIDRACEIRO</t>
  </si>
  <si>
    <t>ABASTECIMENTO - IVECO</t>
  </si>
  <si>
    <t>FERROBRAS</t>
  </si>
  <si>
    <t>FRETE + COMPRA DE MADEIRA CH 832</t>
  </si>
  <si>
    <t>FRETE + COMPRA DE MADEIRA CH 1073</t>
  </si>
  <si>
    <t>COMPRA DE MADEIRA CH 1116</t>
  </si>
  <si>
    <t>KOPPERS NF 1306</t>
  </si>
  <si>
    <t>CONECTORES DO VALE</t>
  </si>
  <si>
    <t>KOPPERS NF 1096</t>
  </si>
  <si>
    <t>KOPPERS NF 0679</t>
  </si>
  <si>
    <t>SANCAR PONTUAL</t>
  </si>
  <si>
    <t>COMPRA DE MADEIRA CH 987</t>
  </si>
  <si>
    <t>COMPRA DE MADEIRA CH 1016</t>
  </si>
  <si>
    <t>COMPRA DE MADEIRA CH 919</t>
  </si>
  <si>
    <t>COMPRA DE MADEIRA CH 922</t>
  </si>
  <si>
    <t>FRETE + COMPRA DE MADEIRA CH 835</t>
  </si>
  <si>
    <t>COMPRA DE MADEIRA CH 839</t>
  </si>
  <si>
    <t>FRETE + COMPRA DE MADEIRA CH 860</t>
  </si>
  <si>
    <t>COMPRA DE MADEIRA CH 1024</t>
  </si>
  <si>
    <t>FRETE DE COMPRA DE MADEIRA - 1079</t>
  </si>
  <si>
    <t>COMPRA DE MADEIRA SERRADA CH 1028</t>
  </si>
  <si>
    <t>COMPRA DE MADEIRA CH 808</t>
  </si>
  <si>
    <t>COMPRA DE MADEIRA CH 1033</t>
  </si>
  <si>
    <t>COMPRA DE MADEIRA CH 1138</t>
  </si>
  <si>
    <t>FRETE DE COMPRA DE MADEIRA CH 1080</t>
  </si>
  <si>
    <t>6244</t>
  </si>
  <si>
    <t>6245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</si>
  <si>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</si>
  <si>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</si>
  <si>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</si>
  <si>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</si>
  <si>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</si>
  <si>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</si>
  <si>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</si>
  <si>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</si>
  <si>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</si>
  <si>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</si>
  <si>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</si>
  <si>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</si>
  <si>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</si>
  <si>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</si>
  <si>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</si>
  <si>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</si>
  <si>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</si>
  <si>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</si>
  <si>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</si>
  <si>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</si>
  <si>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</si>
  <si>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</si>
  <si>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</si>
  <si>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</si>
  <si>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</si>
  <si>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</si>
  <si>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</si>
  <si>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</si>
  <si>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</si>
  <si>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</si>
  <si>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</si>
  <si>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</si>
  <si>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</si>
  <si>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</si>
  <si>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</si>
  <si>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</si>
  <si>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</si>
  <si>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</si>
  <si>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</si>
  <si>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</si>
  <si>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</si>
  <si>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</si>
  <si>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</si>
  <si>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</si>
  <si>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</si>
  <si>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</si>
  <si>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</si>
  <si>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</si>
  <si>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</si>
  <si>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</si>
  <si>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</si>
  <si>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</si>
  <si>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</si>
  <si>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</si>
  <si>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</si>
  <si>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</si>
  <si>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</si>
  <si>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</si>
  <si>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</si>
  <si>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</si>
  <si>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</si>
  <si>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</si>
  <si>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</si>
  <si>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</si>
  <si>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</si>
  <si>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</si>
  <si>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</si>
  <si>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</si>
  <si>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</si>
  <si>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</si>
  <si>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</si>
  <si>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</si>
  <si>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</si>
  <si>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</si>
  <si>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</si>
  <si>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</si>
  <si>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</si>
  <si>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</si>
  <si>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ABASTECIMENTO - FIAT</t>
  </si>
  <si>
    <t>MATRIZ</t>
  </si>
  <si>
    <t>FILIAL</t>
  </si>
  <si>
    <t>COMPRA DE MADEIRA CH 984</t>
  </si>
  <si>
    <t>FRETE + COMPRA DE MADEIRA CH 847</t>
  </si>
  <si>
    <t>COMPRA DE MADEIRA CH 870</t>
  </si>
  <si>
    <t>COMPRA DE MADEIRA CH 1034</t>
  </si>
  <si>
    <t>FOLHA DE PAGAMENTO</t>
  </si>
  <si>
    <t>ABASTECIMENTO - DIESEL</t>
  </si>
  <si>
    <t>AUX. ALIMENTAÇÃO + DIÁRIA</t>
  </si>
  <si>
    <t>AJUDA DE CUSTO</t>
  </si>
  <si>
    <t xml:space="preserve">AUX. ALIMENTAÇÃO   </t>
  </si>
  <si>
    <t>ANTÔNIO JOBIM - PEDREIRO</t>
  </si>
  <si>
    <t>COMPRAS - SUPERMERCADO BAZINHO</t>
  </si>
  <si>
    <t>PGTO DO POLO</t>
  </si>
  <si>
    <t>DESPESAS DE VIAGEM - HENRIQUE</t>
  </si>
  <si>
    <t>GUILHERMINO RODRIGUES PIMENTEL</t>
  </si>
  <si>
    <t>AGROMAIS - PREGOS</t>
  </si>
  <si>
    <t>COMPRA DE MADEIRA - PIX</t>
  </si>
  <si>
    <t>DEPÓSITO P/ CÉSAR</t>
  </si>
  <si>
    <t>ABASTECIMENTO -POLO</t>
  </si>
  <si>
    <t>RECARGA CHIP VIVO - PROECO/BOLETOS</t>
  </si>
  <si>
    <t>OTÁVIO ZANGALLE MONTES</t>
  </si>
  <si>
    <t>ABASTECIMENTO - BI-TRUCK</t>
  </si>
  <si>
    <t>ALUGUEL PROECO - REF. 02/2026</t>
  </si>
  <si>
    <t>FAGUNDES SOLUTION</t>
  </si>
  <si>
    <t>RN PNEUS - OQH1A78</t>
  </si>
  <si>
    <t>KOTUCAY</t>
  </si>
  <si>
    <t>TV COMÉRCIO DE PRODUTOS DE INFORMÁTICA</t>
  </si>
  <si>
    <t>WORK DESENVOLVIMENTO DE SOFTWARE</t>
  </si>
  <si>
    <t>UP PLANO DE ASSITÊNCIA FAMILIAR</t>
  </si>
  <si>
    <t>BARTOFIL NF 8001984</t>
  </si>
  <si>
    <t>IMPERA ESTAMPARIA E CONFECÇÃO</t>
  </si>
  <si>
    <t>CONTABILIDADE</t>
  </si>
  <si>
    <t xml:space="preserve">RN PNEUS 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</si>
  <si>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</si>
  <si>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</si>
  <si>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</si>
  <si>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</si>
  <si>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</si>
  <si>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</si>
  <si>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</si>
  <si>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</si>
  <si>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</si>
  <si>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</si>
  <si>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</si>
  <si>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</si>
  <si>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</si>
  <si>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</si>
  <si>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</si>
  <si>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</si>
  <si>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</si>
  <si>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</si>
  <si>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</si>
  <si>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</si>
  <si>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</si>
  <si>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</si>
  <si>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</si>
  <si>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</si>
  <si>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</si>
  <si>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</si>
  <si>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</si>
  <si>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</si>
  <si>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</si>
  <si>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</si>
  <si>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</si>
  <si>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</si>
  <si>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</si>
  <si>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</si>
  <si>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</si>
  <si>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</si>
  <si>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</si>
  <si>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</si>
  <si>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</si>
  <si>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</si>
  <si>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</si>
  <si>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</si>
  <si>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</si>
  <si>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</si>
  <si>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</si>
  <si>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</si>
  <si>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</si>
  <si>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COMPRA DE MADEIRA CH 938</t>
  </si>
  <si>
    <t>COMPRA DE MADEIRA CH 1029</t>
  </si>
  <si>
    <t>FRETE + COMPRA DE MADEIRA CH 863</t>
  </si>
  <si>
    <t>FRETE + COMPRA DE MADEIRA CH 1126</t>
  </si>
  <si>
    <t>FRETE + COMPRA DE MADEIRA CH 956</t>
  </si>
  <si>
    <t>COMPRA DE MADEIRA CH 1047</t>
  </si>
  <si>
    <t>COMPRA DE MADEIRA CH 1088</t>
  </si>
  <si>
    <t>6372</t>
  </si>
  <si>
    <t>6373</t>
  </si>
  <si>
    <t>6374</t>
  </si>
  <si>
    <t>6375</t>
  </si>
  <si>
    <t>6376</t>
  </si>
  <si>
    <t>6377</t>
  </si>
  <si>
    <t>6378</t>
  </si>
  <si>
    <t>IPTU LOJA - GALPÃO 1393</t>
  </si>
  <si>
    <t>ULTRA FIBER INTERNET</t>
  </si>
  <si>
    <t>DEMSUR</t>
  </si>
  <si>
    <t>ABASTECIMENTO - PVS1D75</t>
  </si>
  <si>
    <t>ÓLEO DE MOTOR</t>
  </si>
  <si>
    <t>ALUGUEL DE ANDAIME</t>
  </si>
  <si>
    <t>HAROLDO TORNEIRO</t>
  </si>
  <si>
    <t>LH PEÇAS E SERVIÇOS</t>
  </si>
  <si>
    <t>REINALDO LUIZ DA S.ANDRADE   DESPACHANTE</t>
  </si>
  <si>
    <t>FRETE DE ENTREGA DE MADEIRAS</t>
  </si>
  <si>
    <t>L E A SERVIÇOS DE RECAUCHUTAGEM</t>
  </si>
  <si>
    <t>JUNQMED PLANO ASSISTENCIAL</t>
  </si>
  <si>
    <t>TIM S A</t>
  </si>
  <si>
    <t>KOPPERS NF1096</t>
  </si>
  <si>
    <t>6379</t>
  </si>
  <si>
    <t>6380</t>
  </si>
  <si>
    <t>ACERTO - MADEIRAS BARREIRO CH 953</t>
  </si>
  <si>
    <t>FRETE DE COMPRA DE MADEIRA CH 1042</t>
  </si>
  <si>
    <t>ACERTO - MADEIRAS BARREIRO CH 954</t>
  </si>
  <si>
    <t>COMPRA DE MADEIRA CH 949</t>
  </si>
  <si>
    <t>FRETE DE COMPRA DE MADEIRA CH 1103</t>
  </si>
  <si>
    <t>ENERGISA MINAS RIO</t>
  </si>
  <si>
    <t>VIVO EMPRESA</t>
  </si>
  <si>
    <t>NEW TIME CONTROLE INDUSTRIA E COMERCIO</t>
  </si>
  <si>
    <t>INTERMICRO</t>
  </si>
  <si>
    <t>HC EQUIPAMENTOS</t>
  </si>
  <si>
    <t>JOÃO BATISTA DO COUTO - FAZ. OURO PRETO</t>
  </si>
  <si>
    <t>CDL</t>
  </si>
  <si>
    <t>AGRO MAIS</t>
  </si>
  <si>
    <t>CONFRATERNIZAÇÃO DE FUNCIONÁRIOS</t>
  </si>
  <si>
    <t xml:space="preserve">AUX. ALIMENTAÇÃO </t>
  </si>
  <si>
    <t xml:space="preserve">ABASTECIMENTO </t>
  </si>
  <si>
    <t>RASTREAMENTO VEICULAR</t>
  </si>
  <si>
    <t>EUZÉBIO TRANSPORTES</t>
  </si>
  <si>
    <t>GUSTAVO - COMPRA DE PÃES</t>
  </si>
  <si>
    <t>RESSARCIMENTO</t>
  </si>
  <si>
    <t>TARIFAS AGRUPADAS</t>
  </si>
  <si>
    <t>TARIFA PACOTES DE SERVIÇOS</t>
  </si>
  <si>
    <t>TARIFA MANUT CTA ATIVA</t>
  </si>
  <si>
    <t>DEB. PACOTE SERVIÇOS</t>
  </si>
  <si>
    <t>TARIFA SERVIÇOS COBRANÇA BOLETO</t>
  </si>
  <si>
    <t>PACOTE DE SERVIÇOS 56 EMPRESARIAL</t>
  </si>
  <si>
    <t>JUROS DE CHEQUE ESPECIAL</t>
  </si>
  <si>
    <t>IOF SOBRE SALDO DEVEDOR</t>
  </si>
  <si>
    <t>IOF BASICO AD PF</t>
  </si>
  <si>
    <t>JUROS ADTO. CREDITO</t>
  </si>
  <si>
    <t>IOF ADICIONAL PF-AD.DEP.</t>
  </si>
  <si>
    <t>CESTA DE RELACIONAMENTO</t>
  </si>
  <si>
    <t>IOF - EMPRÉSTIMOS - COMPLEMENTAR</t>
  </si>
  <si>
    <t>PACOTE DE SERVIÇOS 69-PF PLATINUM</t>
  </si>
  <si>
    <t>JUROS SOBRE ADTO DEPOSITANTE</t>
  </si>
  <si>
    <t>ADIANT.DEPOSITANTE</t>
  </si>
  <si>
    <t>ALVARÁ - MATRIZ</t>
  </si>
  <si>
    <t>ALVARÁ - FILIAL</t>
  </si>
  <si>
    <t>JUNIOR CASTOLDI COMÉRCIO E SERVIÇOS</t>
  </si>
  <si>
    <t>CLOUDWALK IP LTDA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</si>
  <si>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</si>
  <si>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</si>
  <si>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</si>
  <si>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</si>
  <si>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</si>
  <si>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</si>
  <si>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</si>
  <si>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</si>
  <si>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</si>
  <si>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</si>
  <si>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</si>
  <si>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</si>
  <si>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</si>
  <si>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</si>
  <si>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</si>
  <si>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</si>
  <si>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</si>
  <si>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</si>
  <si>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</si>
  <si>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</si>
  <si>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COMPRA DE MADEIRA CH 1038</t>
  </si>
  <si>
    <t>COMPRA DE MADEIRA CH 942</t>
  </si>
  <si>
    <t>FRETE + COMPRA DE MADEIRA CH 1043</t>
  </si>
  <si>
    <t>COMPRA DE MADEIRA CH 1050</t>
  </si>
  <si>
    <t>COMPRA DE MADEIRA CH 1055</t>
  </si>
  <si>
    <t>COMPRA DE MADEIRA CH 1120</t>
  </si>
  <si>
    <t>COMPRA DE MADEIRA CH 1164</t>
  </si>
  <si>
    <t>COMPRA DE MADEIRA CH 977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</si>
  <si>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</si>
  <si>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</si>
  <si>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</si>
  <si>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</si>
  <si>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</si>
  <si>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</si>
  <si>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</si>
  <si>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</si>
  <si>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</si>
  <si>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</si>
  <si>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</si>
  <si>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</si>
  <si>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</si>
  <si>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</si>
  <si>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</si>
  <si>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</si>
  <si>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</si>
  <si>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</si>
  <si>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</si>
  <si>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</si>
  <si>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</si>
  <si>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</si>
  <si>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</si>
  <si>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</si>
  <si>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</si>
  <si>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</si>
  <si>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</si>
  <si>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</si>
  <si>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</si>
  <si>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</si>
  <si>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</si>
  <si>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</si>
  <si>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</si>
  <si>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</si>
  <si>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</si>
  <si>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SUSTAÇÃO/REVOGAÇÃO DE CHEQUE</t>
  </si>
  <si>
    <t>6437</t>
  </si>
  <si>
    <t>6438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</si>
  <si>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</si>
  <si>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</si>
  <si>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</si>
  <si>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</si>
  <si>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</si>
  <si>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</si>
  <si>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</si>
  <si>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</si>
  <si>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</si>
  <si>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</si>
  <si>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</si>
  <si>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</si>
  <si>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</si>
  <si>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</si>
  <si>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</si>
  <si>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</si>
  <si>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</si>
  <si>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</si>
  <si>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</si>
  <si>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</si>
  <si>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</si>
  <si>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</si>
  <si>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</si>
  <si>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</si>
  <si>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</si>
  <si>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</si>
  <si>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</si>
  <si>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</si>
  <si>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</si>
  <si>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</si>
  <si>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</si>
  <si>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</si>
  <si>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</si>
  <si>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</si>
  <si>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</si>
  <si>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</si>
  <si>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</si>
  <si>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CONSÓRCIO SICREDI- CAMINHÃO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</si>
  <si>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</si>
  <si>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</si>
  <si>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</si>
  <si>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</si>
  <si>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</si>
  <si>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</si>
  <si>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</si>
  <si>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</si>
  <si>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</si>
  <si>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</si>
  <si>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</si>
  <si>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</si>
  <si>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</si>
  <si>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</si>
  <si>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</si>
  <si>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</si>
  <si>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</si>
  <si>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</si>
  <si>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</si>
  <si>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</si>
  <si>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</si>
  <si>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</si>
  <si>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</si>
  <si>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</si>
  <si>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</si>
  <si>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</si>
  <si>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</si>
  <si>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</si>
  <si>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</si>
  <si>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</si>
  <si>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MARIO CESAR DA CONCEIÇÃO</t>
  </si>
  <si>
    <t>MERCADO - BAZINHO</t>
  </si>
  <si>
    <t>SUHAI SEGURADORA S.A.</t>
  </si>
  <si>
    <t>FRETE DE COMPRA DE MADEIRA- PIX</t>
  </si>
  <si>
    <t>FRETE DE ENTREGA DE MADEIRAS - PIX</t>
  </si>
  <si>
    <t>FRETE DE COMPRA DE MADEIRA CH 1090</t>
  </si>
  <si>
    <t>FRETE DE COMPRA DE MADEIRA CH 1108</t>
  </si>
  <si>
    <t>COMPRA DE MADEIRA CH 1118</t>
  </si>
  <si>
    <t>COMPRA DE MADEIRA CH 900</t>
  </si>
  <si>
    <t>DEMETRIUS DO BEM BRANDÃO</t>
  </si>
  <si>
    <t>RECEITA FEDERAL - DARF-SIMPLES</t>
  </si>
  <si>
    <t>FGTS</t>
  </si>
  <si>
    <t>EAGLE TECNOLOGIA DA INFORMAÇÃO</t>
  </si>
  <si>
    <t>GHW CONECTORES</t>
  </si>
  <si>
    <t>MAIS SOLUÇÕES RURAIS E AMBIENTAIS</t>
  </si>
  <si>
    <t>ADIANTAMENTO DE SALÁRIO</t>
  </si>
  <si>
    <t>ABASTECIMENTO - GÁS DE COZINHA</t>
  </si>
  <si>
    <t>AGRO MAIS - COMPRA DE PREGOS</t>
  </si>
  <si>
    <t>IPVA + TX LICENCIAMENTO</t>
  </si>
  <si>
    <t>IPVA POLO - SGG8H04</t>
  </si>
  <si>
    <t>ENERGISA</t>
  </si>
  <si>
    <t>FERROBRAS NF 184150</t>
  </si>
  <si>
    <t>RESSARCIMENTO - CARMEN</t>
  </si>
  <si>
    <t>MAYARA APARECIDA DA SILVA CHARRES</t>
  </si>
  <si>
    <t>SIMONE MOREIRA DE CARVALHO VIEIRAS</t>
  </si>
  <si>
    <t>COMPRA DE MADEIRA CH 1065</t>
  </si>
  <si>
    <t>FRETE DE COMPRA DE MADEIRA CH 1139</t>
  </si>
  <si>
    <t>COMPRA DE MADEIRA CH 895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</si>
  <si>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</si>
  <si>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</si>
  <si>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</si>
  <si>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</si>
  <si>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</si>
  <si>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</si>
  <si>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</si>
  <si>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</si>
  <si>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</si>
  <si>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</si>
  <si>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</si>
  <si>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</si>
  <si>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</si>
  <si>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</si>
  <si>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</si>
  <si>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</si>
  <si>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</si>
  <si>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</si>
  <si>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</si>
  <si>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</si>
  <si>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</si>
  <si>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</si>
  <si>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</si>
  <si>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</si>
  <si>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</si>
  <si>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</si>
  <si>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</si>
  <si>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</si>
  <si>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</si>
  <si>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</si>
  <si>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</si>
  <si>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</si>
  <si>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</si>
  <si>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</si>
  <si>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</si>
  <si>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</si>
  <si>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</si>
  <si>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</si>
  <si>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</si>
  <si>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</si>
  <si>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</si>
  <si>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</si>
  <si>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</si>
  <si>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</si>
  <si>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</si>
  <si>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</si>
  <si>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</si>
  <si>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</si>
  <si>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</si>
  <si>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</si>
  <si>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TRANSFERÊNCIA DA FILIAL P/MATRIZ</t>
  </si>
  <si>
    <t xml:space="preserve">ABASTECIMENTOS </t>
  </si>
  <si>
    <t xml:space="preserve">CONSÓRCIO SICREDI- CAMINHÃO </t>
  </si>
  <si>
    <t>REMAN AMORTECEDORES MURIAÉ</t>
  </si>
  <si>
    <t>CONSÓRCIO SICREDI                       CAMINHÃO BI-TRUCK</t>
  </si>
  <si>
    <t>FRETE + COMPRA DE MADEIRA CH 736</t>
  </si>
  <si>
    <t>FRETE DE COMPRA DE MADEIRA CH 1127</t>
  </si>
  <si>
    <t>COMPRA DE MADEIRA CH 1062</t>
  </si>
  <si>
    <t>COMPRA DE MADEIRA CH 1061</t>
  </si>
  <si>
    <t>CALHA DO REFEITÓRIO CH 1081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</si>
  <si>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</si>
  <si>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</si>
  <si>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</si>
  <si>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</si>
  <si>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</si>
  <si>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</si>
  <si>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</si>
  <si>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</si>
  <si>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</si>
  <si>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</si>
  <si>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</si>
  <si>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</si>
  <si>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FRETE + COMPRA DE MADEIRA CH 866</t>
  </si>
  <si>
    <t>FRETE + COMPRA DE MADEIRA CH 737</t>
  </si>
  <si>
    <t>FRETE + COMPRA DE MADEIRA CH 980</t>
  </si>
  <si>
    <t>COMPRA DE MADEIRA CH 989</t>
  </si>
  <si>
    <t>COMPRA DE MADEIRA CH 993</t>
  </si>
  <si>
    <t>FRETE DE COMPRA DE MADEIRA CH 1140</t>
  </si>
  <si>
    <t>COMPRA DE MADEIRA CH 1137</t>
  </si>
  <si>
    <t>COMPRA DE MADEIRA CH 1145</t>
  </si>
  <si>
    <t>COMPRA DE MADEIRA CH 902</t>
  </si>
  <si>
    <t>FRETE + COMPRA DE MADEIRA CH 906</t>
  </si>
  <si>
    <t>COMPRA DE MADEIRA CH 1039</t>
  </si>
  <si>
    <t>COMISSÃO - HENRIQUE</t>
  </si>
  <si>
    <t>6570</t>
  </si>
  <si>
    <t>6571</t>
  </si>
  <si>
    <t>6572</t>
  </si>
  <si>
    <t>6573</t>
  </si>
  <si>
    <t>6574</t>
  </si>
  <si>
    <t>6575</t>
  </si>
  <si>
    <t>EMPRÉSTIMO - PÁ CARREGADEIRA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</si>
  <si>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</si>
  <si>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</si>
  <si>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</si>
  <si>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</si>
  <si>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</si>
  <si>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</si>
  <si>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</si>
  <si>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</si>
  <si>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</si>
  <si>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</si>
  <si>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</si>
  <si>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</si>
  <si>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</si>
  <si>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</si>
  <si>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</si>
  <si>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</si>
  <si>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</si>
  <si>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</si>
  <si>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</si>
  <si>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</si>
  <si>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</si>
  <si>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</si>
  <si>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</si>
  <si>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</si>
  <si>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</si>
  <si>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</si>
  <si>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</si>
  <si>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COMISSÃO - J.GERALDO</t>
  </si>
  <si>
    <t>6603</t>
  </si>
  <si>
    <t>6604</t>
  </si>
  <si>
    <t>COMPRA DE MADEIRA CH 971</t>
  </si>
  <si>
    <t>FRETE + COMPRA DE MADEIRA CH 738</t>
  </si>
  <si>
    <t>COMPRA DE MADEIRA CH 1071</t>
  </si>
  <si>
    <t>FRETE + COMPRA DE MADEIRA CH 1084</t>
  </si>
  <si>
    <t>JOAO</t>
  </si>
  <si>
    <t>MARIO</t>
  </si>
  <si>
    <t>CARTAO</t>
  </si>
  <si>
    <t>Rótulos de Linha</t>
  </si>
  <si>
    <t>Total Geral</t>
  </si>
  <si>
    <t>TOTAL DE GASTOS</t>
  </si>
  <si>
    <t>TOTAL DE LANÇAMENTOS</t>
  </si>
  <si>
    <t>Data</t>
  </si>
  <si>
    <t>GASTOS POR FORNECEDOR</t>
  </si>
  <si>
    <t>GASTOS POR PAGADOR</t>
  </si>
  <si>
    <t>EVOLUÇÃO DOS GASTOS</t>
  </si>
  <si>
    <t>MAIOR DESPESA</t>
  </si>
  <si>
    <t>UNIDADE</t>
  </si>
  <si>
    <t xml:space="preserve">      DESPESAS PAGAS - GERAL       MAIO/2026                          </t>
  </si>
  <si>
    <t>Soma de DESPESAS</t>
  </si>
  <si>
    <t>MÉDIA POR LANÇAMENTO</t>
  </si>
  <si>
    <t>ABASTECIMENTO DE VEÍCULOS</t>
  </si>
  <si>
    <t>MANUTENÇÃO DE VEÍCULOS</t>
  </si>
  <si>
    <t>COMPRAS - ESCRITÓRIO</t>
  </si>
  <si>
    <t>COMPRAS PARA REFEITÓRIO</t>
  </si>
  <si>
    <t>SERVIÇOS DE RECAUCHUTAGEM</t>
  </si>
  <si>
    <t>TARIFAS BANCÁRIAS</t>
  </si>
  <si>
    <t>PEDÁGIO</t>
  </si>
  <si>
    <t xml:space="preserve">FRETE DE COMPRA DE MADEIRA </t>
  </si>
  <si>
    <t>AUX. ALIMENTAÇÃO + DIÁRIA - MOTORISTA</t>
  </si>
  <si>
    <t>TRANSFERÊNCIA BANCÁRIA</t>
  </si>
  <si>
    <t>IMPOSTOS</t>
  </si>
  <si>
    <t>INTERNET</t>
  </si>
  <si>
    <t>ENERGIA SOLAR</t>
  </si>
  <si>
    <t>PAGAMENTO DE FUNCIONÁRIOS</t>
  </si>
  <si>
    <t>FRETE DE ENTREGA</t>
  </si>
  <si>
    <t>MATERIAL PARA ESCRITÓRIO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</si>
</sst>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Arial MT"/>
    </font>
    <font>
      <sz val="8"/>
      <color rgb="FF000000"/>
      <name val="Arial MT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 MT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ptos Slab SemiBold"/>
      <family val="2"/>
    </font>
    <font>
      <b/>
      <sz val="12"/>
      <color theme="1"/>
      <name val="Aptos Slab SemiBold"/>
      <family val="2"/>
    </font>
    <font>
      <b/>
      <sz val="16"/>
      <color theme="1"/>
      <name val="Baguet Script"/>
    </font>
    <font>
      <b/>
      <sz val="12"/>
      <color theme="1"/>
      <name val="Baguet Script"/>
    </font>
    <font>
      <b/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rgb="FFFFFF99"/>
        </stop>
      </gradientFill>
    </fill>
    <fill>
      <gradientFill degree="90">
        <stop position="0">
          <color theme="0"/>
        </stop>
        <stop position="1">
          <color theme="0" tint="-0.1490218817712943"/>
        </stop>
      </gradient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2" borderId="3" applyNumberFormat="0" applyAlignment="0" applyProtection="0"/>
  </cellStyleXfs>
  <cellXfs count="8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6" fillId="3" borderId="2" xfId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right"/>
    </xf>
    <xf numFmtId="49" fontId="8" fillId="0" borderId="1" xfId="1" applyNumberFormat="1" applyFont="1" applyBorder="1" applyAlignment="1">
      <alignment horizontal="right" vertical="center" shrinkToFit="1"/>
    </xf>
    <xf numFmtId="0" fontId="8" fillId="0" borderId="1" xfId="1" applyFont="1" applyBorder="1" applyAlignment="1">
      <alignment horizontal="left" vertical="center" wrapText="1" shrinkToFit="1"/>
    </xf>
    <xf numFmtId="49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right" vertical="center"/>
    </xf>
    <xf numFmtId="14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 vertical="center"/>
    </xf>
    <xf numFmtId="49" fontId="6" fillId="3" borderId="2" xfId="1" applyNumberFormat="1" applyFont="1" applyFill="1" applyBorder="1" applyAlignment="1">
      <alignment horizontal="left" vertical="center" wrapText="1"/>
    </xf>
    <xf numFmtId="0" fontId="6" fillId="3" borderId="0" xfId="1" applyFont="1" applyFill="1" applyAlignment="1">
      <alignment horizontal="left" vertical="center" wrapText="1"/>
    </xf>
    <xf numFmtId="14" fontId="7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6" fillId="3" borderId="0" xfId="1" applyFont="1" applyFill="1" applyAlignment="1">
      <alignment horizontal="center" vertical="center" wrapText="1"/>
    </xf>
    <xf numFmtId="49" fontId="8" fillId="0" borderId="1" xfId="1" applyNumberFormat="1" applyFont="1" applyBorder="1" applyAlignment="1">
      <alignment horizontal="right" vertical="center" wrapText="1" shrinkToFit="1"/>
    </xf>
    <xf numFmtId="14" fontId="9" fillId="0" borderId="1" xfId="0" applyNumberFormat="1" applyFont="1" applyBorder="1" applyAlignment="1">
      <alignment vertical="center"/>
    </xf>
    <xf numFmtId="44" fontId="9" fillId="0" borderId="1" xfId="0" applyNumberFormat="1" applyFont="1" applyBorder="1" applyAlignment="1">
      <alignment horizontal="right" vertical="center"/>
    </xf>
    <xf numFmtId="0" fontId="8" fillId="0" borderId="1" xfId="1" applyFont="1" applyBorder="1" applyAlignment="1">
      <alignment horizontal="left" vertical="top" wrapText="1" shrinkToFit="1"/>
    </xf>
    <xf numFmtId="0" fontId="9" fillId="0" borderId="1" xfId="0" applyFont="1" applyBorder="1"/>
    <xf numFmtId="49" fontId="3" fillId="0" borderId="1" xfId="1" applyNumberFormat="1" applyFont="1" applyBorder="1" applyAlignment="1">
      <alignment horizontal="right" vertical="center" shrinkToFit="1"/>
    </xf>
    <xf numFmtId="0" fontId="3" fillId="0" borderId="1" xfId="1" applyFont="1" applyBorder="1" applyAlignment="1">
      <alignment horizontal="left" vertical="top" wrapText="1" shrinkToFit="1"/>
    </xf>
    <xf numFmtId="14" fontId="6" fillId="3" borderId="2" xfId="1" applyNumberFormat="1" applyFont="1" applyFill="1" applyBorder="1" applyAlignment="1">
      <alignment horizontal="left" vertical="center" wrapText="1"/>
    </xf>
    <xf numFmtId="14" fontId="0" fillId="0" borderId="0" xfId="0" applyNumberFormat="1"/>
    <xf numFmtId="44" fontId="6" fillId="3" borderId="2" xfId="1" applyNumberFormat="1" applyFont="1" applyFill="1" applyBorder="1" applyAlignment="1">
      <alignment horizontal="center" vertical="center" wrapText="1"/>
    </xf>
    <xf numFmtId="44" fontId="0" fillId="0" borderId="0" xfId="0" applyNumberFormat="1"/>
    <xf numFmtId="44" fontId="7" fillId="0" borderId="1" xfId="1" applyNumberFormat="1" applyFont="1" applyBorder="1" applyAlignment="1">
      <alignment horizontal="right" vertical="center" wrapText="1"/>
    </xf>
    <xf numFmtId="44" fontId="7" fillId="0" borderId="1" xfId="0" applyNumberFormat="1" applyFont="1" applyBorder="1" applyAlignment="1">
      <alignment horizontal="right" vertical="center"/>
    </xf>
    <xf numFmtId="44" fontId="2" fillId="0" borderId="1" xfId="1" applyNumberFormat="1" applyFont="1" applyBorder="1" applyAlignment="1">
      <alignment horizontal="right" vertical="center" wrapText="1"/>
    </xf>
    <xf numFmtId="0" fontId="9" fillId="0" borderId="0" xfId="0" applyFont="1"/>
    <xf numFmtId="49" fontId="10" fillId="4" borderId="1" xfId="1" applyNumberFormat="1" applyFont="1" applyFill="1" applyBorder="1" applyAlignment="1">
      <alignment horizontal="right" vertical="center" shrinkToFit="1"/>
    </xf>
    <xf numFmtId="14" fontId="11" fillId="4" borderId="1" xfId="0" applyNumberFormat="1" applyFont="1" applyFill="1" applyBorder="1" applyAlignment="1">
      <alignment horizontal="right" vertical="center"/>
    </xf>
    <xf numFmtId="0" fontId="10" fillId="4" borderId="1" xfId="1" applyFont="1" applyFill="1" applyBorder="1" applyAlignment="1">
      <alignment horizontal="left" vertical="center" wrapText="1" shrinkToFit="1"/>
    </xf>
    <xf numFmtId="44" fontId="11" fillId="4" borderId="1" xfId="1" applyNumberFormat="1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vertical="center"/>
    </xf>
    <xf numFmtId="14" fontId="9" fillId="0" borderId="1" xfId="0" applyNumberFormat="1" applyFont="1" applyBorder="1"/>
    <xf numFmtId="44" fontId="9" fillId="0" borderId="1" xfId="0" applyNumberFormat="1" applyFont="1" applyBorder="1"/>
    <xf numFmtId="0" fontId="12" fillId="4" borderId="1" xfId="0" applyFont="1" applyFill="1" applyBorder="1"/>
    <xf numFmtId="0" fontId="0" fillId="0" borderId="0" xfId="0" pivotButton="1"/>
    <xf numFmtId="0" fontId="14" fillId="0" borderId="5" xfId="0" applyFont="1" applyBorder="1" applyAlignment="1">
      <alignment horizontal="center" vertical="center"/>
    </xf>
    <xf numFmtId="44" fontId="14" fillId="0" borderId="6" xfId="0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pivotButton="1" applyNumberFormat="1"/>
    <xf numFmtId="14" fontId="8" fillId="0" borderId="1" xfId="1" applyNumberFormat="1" applyFont="1" applyBorder="1" applyAlignment="1">
      <alignment horizontal="right" vertical="center" shrinkToFit="1"/>
    </xf>
    <xf numFmtId="14" fontId="8" fillId="0" borderId="1" xfId="1" applyNumberFormat="1" applyFont="1" applyBorder="1" applyAlignment="1">
      <alignment horizontal="right" vertical="center" wrapText="1" shrinkToFit="1"/>
    </xf>
    <xf numFmtId="44" fontId="16" fillId="0" borderId="0" xfId="0" applyNumberFormat="1" applyFont="1"/>
    <xf numFmtId="0" fontId="18" fillId="0" borderId="0" xfId="0" applyFont="1"/>
    <xf numFmtId="0" fontId="6" fillId="3" borderId="7" xfId="1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right" vertical="center" shrinkToFit="1"/>
    </xf>
    <xf numFmtId="49" fontId="3" fillId="0" borderId="8" xfId="1" applyNumberFormat="1" applyFont="1" applyBorder="1" applyAlignment="1">
      <alignment horizontal="right" vertical="center" shrinkToFit="1"/>
    </xf>
    <xf numFmtId="14" fontId="3" fillId="0" borderId="8" xfId="1" applyNumberFormat="1" applyFont="1" applyBorder="1" applyAlignment="1">
      <alignment horizontal="right" vertical="center" shrinkToFit="1"/>
    </xf>
    <xf numFmtId="0" fontId="3" fillId="0" borderId="8" xfId="1" applyFont="1" applyBorder="1" applyAlignment="1">
      <alignment horizontal="left" vertical="top" wrapText="1" shrinkToFit="1"/>
    </xf>
    <xf numFmtId="44" fontId="2" fillId="0" borderId="8" xfId="1" applyNumberFormat="1" applyFont="1" applyBorder="1" applyAlignment="1">
      <alignment horizontal="right" vertical="center" wrapText="1"/>
    </xf>
    <xf numFmtId="0" fontId="9" fillId="0" borderId="8" xfId="0" applyFont="1" applyBorder="1"/>
    <xf numFmtId="0" fontId="8" fillId="0" borderId="1" xfId="1" applyFont="1" applyBorder="1" applyAlignment="1">
      <alignment horizontal="right" vertical="center" shrinkToFit="1"/>
    </xf>
    <xf numFmtId="4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4" fontId="19" fillId="0" borderId="0" xfId="0" applyNumberFormat="1" applyFont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44" fontId="19" fillId="0" borderId="11" xfId="0" applyNumberFormat="1" applyFont="1" applyBorder="1" applyAlignment="1">
      <alignment horizontal="center" vertical="center"/>
    </xf>
    <xf numFmtId="44" fontId="19" fillId="0" borderId="12" xfId="0" applyNumberFormat="1" applyFont="1" applyBorder="1" applyAlignment="1">
      <alignment horizontal="center" vertical="center"/>
    </xf>
    <xf numFmtId="0" fontId="15" fillId="6" borderId="0" xfId="0" applyFont="1" applyFill="1" applyAlignment="1">
      <alignment horizontal="center"/>
    </xf>
    <xf numFmtId="44" fontId="17" fillId="5" borderId="0" xfId="0" applyNumberFormat="1" applyFont="1" applyFill="1" applyAlignment="1">
      <alignment horizontal="center"/>
    </xf>
    <xf numFmtId="44" fontId="14" fillId="0" borderId="9" xfId="0" applyNumberFormat="1" applyFont="1" applyBorder="1" applyAlignment="1">
      <alignment horizontal="center"/>
    </xf>
    <xf numFmtId="44" fontId="14" fillId="0" borderId="10" xfId="0" applyNumberFormat="1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44" fontId="14" fillId="0" borderId="11" xfId="0" applyNumberFormat="1" applyFont="1" applyBorder="1" applyAlignment="1">
      <alignment horizontal="center"/>
    </xf>
    <xf numFmtId="44" fontId="14" fillId="0" borderId="12" xfId="0" applyNumberFormat="1" applyFont="1" applyBorder="1" applyAlignment="1">
      <alignment horizontal="center"/>
    </xf>
    <xf numFmtId="0" fontId="5" fillId="2" borderId="4" xfId="2" applyFont="1" applyBorder="1" applyAlignment="1">
      <alignment horizontal="center"/>
    </xf>
    <xf numFmtId="0" fontId="5" fillId="2" borderId="0" xfId="2" applyFont="1" applyBorder="1" applyAlignment="1">
      <alignment horizontal="center"/>
    </xf>
    <xf numFmtId="0" fontId="5" fillId="2" borderId="0" xfId="2" applyFont="1" applyBorder="1" applyAlignment="1">
      <alignment horizontal="right"/>
    </xf>
    <xf numFmtId="0" fontId="13" fillId="2" borderId="4" xfId="2" applyFont="1" applyBorder="1" applyAlignment="1">
      <alignment vertical="center"/>
    </xf>
    <xf numFmtId="0" fontId="13" fillId="2" borderId="0" xfId="2" applyFont="1" applyBorder="1" applyAlignment="1">
      <alignment vertical="center"/>
    </xf>
  </cellXfs>
  <cellStyles count="3">
    <cellStyle name="Célula de Verificação" xfId="2" builtinId="23"/>
    <cellStyle name="Normal" xfId="0" builtinId="0"/>
    <cellStyle name="Normal 2" xfId="1" xr:uid="{00000000-0005-0000-0000-000003000000}"/>
  </cellStyles>
  <dxfs count="33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165" formatCode="mm/dd/yyyy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 MT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165" formatCode="mm/dd/yyyy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 MT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[Dashboard_Financeiro.xlsx.xlsx]Planilha4!Tabela dinâmica3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Planilha4!$A$4:$A$6</c:f>
              <c:strCache>
                <c:ptCount val="2"/>
                <c:pt idx="0">
                  <c:v>JOAO</c:v>
                </c:pt>
                <c:pt idx="1">
                  <c:v>MARIO</c:v>
                </c:pt>
              </c:strCache>
            </c:strRef>
          </c:cat>
          <c:val>
            <c:numRef>
              <c:f>Planilha4!$B$4:$B$6</c:f>
              <c:numCache>
                <c:formatCode>_("R$"* #,##0.00_);_("R$"* \(#,##0.00\);_("R$"* "-"??_);_(@_)</c:formatCode>
                <c:ptCount val="2"/>
                <c:pt idx="0">
                  <c:v>27747.350000000009</c:v>
                </c:pt>
                <c:pt idx="1">
                  <c:v>238120.52000000002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4-4E49-A68C-06B9693E7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393936"/>
        <c:axId val="54382416"/>
      </c:barChart>
      <c:catAx>
        <c:axId val="543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2416"/>
        <c:crosses val="autoZero"/>
        <c:auto val="1"/>
        <c:lblAlgn val="ctr"/>
        <c:lblOffset val="100"/>
        <c:noMultiLvlLbl val="0"/>
      </c:catAx>
      <c:valAx>
        <c:axId val="543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46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  <a:tileRect/>
    </a:gradFill>
    <a:ln>
      <a:noFill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[Dashboard_Financeiro.xlsx.xlsx]Planilha5!Tabela dinâmica4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Planilha5!$A$4:$A$17</c:f>
              <c:strCache>
                <c:ptCount val="13"/>
                <c:pt idx="0">
                  <c:v>AJUDA DE CUSTO</c:v>
                </c:pt>
                <c:pt idx="1">
                  <c:v>COMPRA DE MADEIRA CH 808</c:v>
                </c:pt>
                <c:pt idx="2">
                  <c:v>JUROS DE DESCONTO DE CHEQUES</c:v>
                </c:pt>
                <c:pt idx="3">
                  <c:v>RASTREAMENTO VEICULAR</c:v>
                </c:pt>
                <c:pt idx="4">
                  <c:v>ABASTECIMENTO DE VEÍCULOS</c:v>
                </c:pt>
                <c:pt idx="5">
                  <c:v>MANUTENÇÃO DE VEÍCULOS</c:v>
                </c:pt>
                <c:pt idx="6">
                  <c:v>COMPRAS - ESCRITÓRIO</c:v>
                </c:pt>
                <c:pt idx="7">
                  <c:v>COMPRAS PARA REFEITÓRIO</c:v>
                </c:pt>
                <c:pt idx="8">
                  <c:v>SERVIÇOS DE RECAUCHUTAGEM</c:v>
                </c:pt>
                <c:pt idx="9">
                  <c:v>TARIFAS BANCÁRIAS</c:v>
                </c:pt>
                <c:pt idx="10">
                  <c:v>PEDÁGIO</c:v>
                </c:pt>
                <c:pt idx="11">
                  <c:v>FRETE DE COMPRA DE MADEIRA </c:v>
                </c:pt>
                <c:pt idx="12">
                  <c:v>AUX. ALIMENTAÇÃO + DIÁRIA - MOTORISTA</c:v>
                </c:pt>
              </c:strCache>
            </c:strRef>
          </c:cat>
          <c:val>
            <c:numRef>
              <c:f>Planilha5!$B$4:$B$17</c:f>
              <c:numCache>
                <c:formatCode>_("R$"* #,##0.00_);_("R$"* \(#,##0.00\);_("R$"* "-"??_);_(@_)</c:formatCode>
                <c:ptCount val="13"/>
                <c:pt idx="0">
                  <c:v>220</c:v>
                </c:pt>
                <c:pt idx="1">
                  <c:v>9229</c:v>
                </c:pt>
                <c:pt idx="2">
                  <c:v>21601.109999999997</c:v>
                </c:pt>
                <c:pt idx="3">
                  <c:v>77.47</c:v>
                </c:pt>
                <c:pt idx="4">
                  <c:v>40701.859999999993</c:v>
                </c:pt>
                <c:pt idx="5">
                  <c:v>181.25</c:v>
                </c:pt>
                <c:pt idx="6">
                  <c:v>915.07999999999993</c:v>
                </c:pt>
                <c:pt idx="7">
                  <c:v>7952.7</c:v>
                </c:pt>
                <c:pt idx="8">
                  <c:v>1648</c:v>
                </c:pt>
                <c:pt idx="9">
                  <c:v>1690.9199999999992</c:v>
                </c:pt>
                <c:pt idx="10">
                  <c:v>6621.4899999999989</c:v>
                </c:pt>
                <c:pt idx="11">
                  <c:v>172722.99000000002</c:v>
                </c:pt>
                <c:pt idx="12">
                  <c:v>2306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2-4E4C-8F17-24A8DBDD6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8810112"/>
        <c:axId val="54392976"/>
      </c:barChart>
      <c:catAx>
        <c:axId val="208881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92976"/>
        <c:crosses val="autoZero"/>
        <c:auto val="1"/>
        <c:lblAlgn val="ctr"/>
        <c:lblOffset val="100"/>
        <c:noMultiLvlLbl val="0"/>
      </c:catAx>
      <c:valAx>
        <c:axId val="543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8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46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[Dashboard_Financeiro.xlsx.xlsx]Planilha6!Tabela dinâmica5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Planilha6!$A$4:$A$25</c:f>
              <c:strCache>
                <c:ptCount val="21"/>
                <c:pt idx="0">
                  <c:v>01/05/2026</c:v>
                </c:pt>
                <c:pt idx="1">
                  <c:v>04/05/2026</c:v>
                </c:pt>
                <c:pt idx="2">
                  <c:v>05/05/2026</c:v>
                </c:pt>
                <c:pt idx="3">
                  <c:v>06/05/2026</c:v>
                </c:pt>
                <c:pt idx="4">
                  <c:v>07/05/2026</c:v>
                </c:pt>
                <c:pt idx="5">
                  <c:v>08/05/2026</c:v>
                </c:pt>
                <c:pt idx="6">
                  <c:v>09/05/2026</c:v>
                </c:pt>
                <c:pt idx="7">
                  <c:v>13/05/2026</c:v>
                </c:pt>
                <c:pt idx="8">
                  <c:v>14/05/2026</c:v>
                </c:pt>
                <c:pt idx="9">
                  <c:v>15/05/2026</c:v>
                </c:pt>
                <c:pt idx="10">
                  <c:v>18/05/2026</c:v>
                </c:pt>
                <c:pt idx="11">
                  <c:v>19/05/2026</c:v>
                </c:pt>
                <c:pt idx="12">
                  <c:v>20/05/2026</c:v>
                </c:pt>
                <c:pt idx="13">
                  <c:v>21/05/2026</c:v>
                </c:pt>
                <c:pt idx="14">
                  <c:v>22/05/2026</c:v>
                </c:pt>
                <c:pt idx="15">
                  <c:v>25/05/2026</c:v>
                </c:pt>
                <c:pt idx="16">
                  <c:v>28/05/2026</c:v>
                </c:pt>
                <c:pt idx="17">
                  <c:v>11/05/2026</c:v>
                </c:pt>
                <c:pt idx="18">
                  <c:v>12/05/2026</c:v>
                </c:pt>
                <c:pt idx="19">
                  <c:v>26/05/2026</c:v>
                </c:pt>
                <c:pt idx="20">
                  <c:v>27/05/2026</c:v>
                </c:pt>
              </c:strCache>
            </c:strRef>
          </c:cat>
          <c:val>
            <c:numRef>
              <c:f>Planilha6!$B$4:$B$25</c:f>
              <c:numCache>
                <c:formatCode>_("R$"* #,##0.00_);_("R$"* \(#,##0.00\);_("R$"* "-"??_);_(@_)</c:formatCode>
                <c:ptCount val="21"/>
                <c:pt idx="0">
                  <c:v>50</c:v>
                </c:pt>
                <c:pt idx="1">
                  <c:v>4039.1600000000003</c:v>
                </c:pt>
                <c:pt idx="2">
                  <c:v>5047.17</c:v>
                </c:pt>
                <c:pt idx="3">
                  <c:v>3274.5099999999998</c:v>
                </c:pt>
                <c:pt idx="4">
                  <c:v>24521.23</c:v>
                </c:pt>
                <c:pt idx="5">
                  <c:v>21377.02</c:v>
                </c:pt>
                <c:pt idx="6">
                  <c:v>100</c:v>
                </c:pt>
                <c:pt idx="7">
                  <c:v>22672.36</c:v>
                </c:pt>
                <c:pt idx="8">
                  <c:v>14721.1</c:v>
                </c:pt>
                <c:pt idx="9">
                  <c:v>3253.23</c:v>
                </c:pt>
                <c:pt idx="10">
                  <c:v>23729.23</c:v>
                </c:pt>
                <c:pt idx="11">
                  <c:v>5561.05</c:v>
                </c:pt>
                <c:pt idx="12">
                  <c:v>9424</c:v>
                </c:pt>
                <c:pt idx="13">
                  <c:v>13737.75</c:v>
                </c:pt>
                <c:pt idx="14">
                  <c:v>2059.61</c:v>
                </c:pt>
                <c:pt idx="15">
                  <c:v>19367.04</c:v>
                </c:pt>
                <c:pt idx="16">
                  <c:v>1115.73</c:v>
                </c:pt>
                <c:pt idx="17">
                  <c:v>40206.229999999996</c:v>
                </c:pt>
                <c:pt idx="18">
                  <c:v>6618.8300000000008</c:v>
                </c:pt>
                <c:pt idx="19">
                  <c:v>33258.910000000003</c:v>
                </c:pt>
                <c:pt idx="20">
                  <c:v>11733.71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9-4136-B746-B75C58AE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399696"/>
        <c:axId val="54400176"/>
      </c:barChart>
      <c:catAx>
        <c:axId val="543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00176"/>
        <c:crosses val="autoZero"/>
        <c:auto val="1"/>
        <c:lblAlgn val="ctr"/>
        <c:lblOffset val="100"/>
        <c:noMultiLvlLbl val="0"/>
      </c:catAx>
      <c:valAx>
        <c:axId val="5440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9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46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[Dashboard_Financeiro.xlsx.xlsx]Planilha2!Tabela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000"/>
              <a:t>TOTAL GERAL </a:t>
            </a:r>
          </a:p>
          <a:p>
            <a:pPr>
              <a:defRPr/>
            </a:pPr>
            <a:r>
              <a:rPr lang="pt-BR" sz="1000"/>
              <a:t>DE DESPESAS</a:t>
            </a:r>
          </a:p>
        </c:rich>
      </c:tx>
      <c:layout>
        <c:manualLayout>
          <c:xMode val="edge"/>
          <c:yMode val="edge"/>
          <c:x val="1.8854111986001749E-2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5.5555555555555558E-3"/>
              <c:y val="1.469524642752989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Filial</a:t>
                </a:r>
                <a:fld id="{9FACB622-797C-4A79-A661-A1D9BE542494}" type="VALUE">
                  <a:rPr lang="en-US"/>
                  <a:pPr>
                    <a:defRPr/>
                  </a:pPr>
                  <a:t>[VALOR]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8.1944444444444389E-2"/>
              <c:y val="-0.2314814814814814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Matriz</a:t>
                </a:r>
                <a:fld id="{2ED70A5D-5A5A-4D92-9460-E9EE281538BC}" type="VALUE">
                  <a:rPr lang="en-US"/>
                  <a:pPr>
                    <a:defRPr/>
                  </a:pPr>
                  <a:t>[VALOR]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8002314928025308E-2"/>
          <c:y val="0.29461525642628011"/>
          <c:w val="0.83866065654836619"/>
          <c:h val="0.56429682400810999"/>
        </c:manualLayout>
      </c:layout>
      <c:pie3DChart>
        <c:varyColors val="1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AF3-4C70-8CB4-D4577C993C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AF3-4C70-8CB4-D4577C993C06}"/>
              </c:ext>
            </c:extLst>
          </c:dPt>
          <c:dLbls>
            <c:dLbl>
              <c:idx val="0"/>
              <c:layout>
                <c:manualLayout>
                  <c:x val="5.5555555555555558E-3"/>
                  <c:y val="1.46952464275298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Filial</a:t>
                    </a:r>
                    <a:fld id="{9FACB622-797C-4A79-A661-A1D9BE542494}" type="VALUE">
                      <a:rPr lang="en-US"/>
                      <a:pPr/>
                      <a:t>[VALOR]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AF3-4C70-8CB4-D4577C993C06}"/>
                </c:ext>
              </c:extLst>
            </c:dLbl>
            <c:dLbl>
              <c:idx val="1"/>
              <c:layout>
                <c:manualLayout>
                  <c:x val="8.1944444444444389E-2"/>
                  <c:y val="-0.2314814814814814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Matriz</a:t>
                    </a:r>
                    <a:fld id="{2ED70A5D-5A5A-4D92-9460-E9EE281538BC}" type="VALUE">
                      <a:rPr lang="en-US"/>
                      <a:pPr/>
                      <a:t>[VALOR]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AF3-4C70-8CB4-D4577C993C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Planilha2!$A$4:$A$6</c:f>
              <c:strCache>
                <c:ptCount val="2"/>
                <c:pt idx="0">
                  <c:v>FILIAL</c:v>
                </c:pt>
                <c:pt idx="1">
                  <c:v>MATRIZ</c:v>
                </c:pt>
              </c:strCache>
            </c:strRef>
          </c:cat>
          <c:val>
            <c:numRef>
              <c:f>Planilha2!$B$4:$B$6</c:f>
              <c:numCache>
                <c:formatCode>_("R$"* #,##0.00_);_("R$"* \(#,##0.00\);_("R$"* "-"??_);_(@_)</c:formatCode>
                <c:ptCount val="2"/>
                <c:pt idx="0">
                  <c:v>9145.98</c:v>
                </c:pt>
                <c:pt idx="1">
                  <c:v>916459.37999999966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F3-4C70-8CB4-D4577C993C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46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350520</xdr:colOff>
      <xdr:row>4</xdr:row>
      <xdr:rowOff>68580</xdr:rowOff>
    </xdr:from>
    <xdr:to>
      <xdr:col>5</xdr:col>
      <xdr:colOff>350520</xdr:colOff>
      <xdr:row>17</xdr:row>
      <xdr:rowOff>158115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FDDBF4AD-AB52-5207-BE3D-01D1B5B630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5460" y="8001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220980</xdr:colOff>
      <xdr:row>7</xdr:row>
      <xdr:rowOff>0</xdr:rowOff>
    </xdr:from>
    <xdr:to>
      <xdr:col>6</xdr:col>
      <xdr:colOff>220980</xdr:colOff>
      <xdr:row>20</xdr:row>
      <xdr:rowOff>89535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ORNECEDOR">
              <a:extLst>
                <a:ext uri="{FF2B5EF4-FFF2-40B4-BE49-F238E27FC236}">
                  <a16:creationId xmlns:a16="http://schemas.microsoft.com/office/drawing/2014/main" id="{59ACC68D-E5D3-0386-3B70-955D002DF8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65520" y="12801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91440</xdr:colOff>
      <xdr:row>9</xdr:row>
      <xdr:rowOff>114300</xdr:rowOff>
    </xdr:from>
    <xdr:to>
      <xdr:col>7</xdr:col>
      <xdr:colOff>91440</xdr:colOff>
      <xdr:row>23</xdr:row>
      <xdr:rowOff>20955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AGADOR">
              <a:extLst>
                <a:ext uri="{FF2B5EF4-FFF2-40B4-BE49-F238E27FC236}">
                  <a16:creationId xmlns:a16="http://schemas.microsoft.com/office/drawing/2014/main" id="{0285012C-A5C3-A29A-A77A-771696FCDA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G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5580" y="17602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11</xdr:row>
      <xdr:rowOff>53340</xdr:rowOff>
    </xdr:from>
    <xdr:to>
      <xdr:col>4</xdr:col>
      <xdr:colOff>175260</xdr:colOff>
      <xdr:row>24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5CCE20-29BC-4302-8225-6990350A8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243840</xdr:colOff>
      <xdr:row>11</xdr:row>
      <xdr:rowOff>53340</xdr:rowOff>
    </xdr:from>
    <xdr:to>
      <xdr:col>10</xdr:col>
      <xdr:colOff>297180</xdr:colOff>
      <xdr:row>22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F834EF-8617-4AF5-A3DF-B6ACBBD82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220980</xdr:colOff>
      <xdr:row>22</xdr:row>
      <xdr:rowOff>91440</xdr:rowOff>
    </xdr:from>
    <xdr:to>
      <xdr:col>13</xdr:col>
      <xdr:colOff>525780</xdr:colOff>
      <xdr:row>32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BC1C52-C3D5-4BE9-8EC3-892EF2584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365760</xdr:colOff>
      <xdr:row>11</xdr:row>
      <xdr:rowOff>60960</xdr:rowOff>
    </xdr:from>
    <xdr:to>
      <xdr:col>13</xdr:col>
      <xdr:colOff>571500</xdr:colOff>
      <xdr:row>22</xdr:row>
      <xdr:rowOff>30479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FORNECEDOR 1">
              <a:extLst>
                <a:ext uri="{FF2B5EF4-FFF2-40B4-BE49-F238E27FC236}">
                  <a16:creationId xmlns:a16="http://schemas.microsoft.com/office/drawing/2014/main" id="{A143BB8D-1E3F-45BA-91A7-ECDB9DFFB9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2080260"/>
              <a:ext cx="1828800" cy="1981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350520</xdr:colOff>
      <xdr:row>3</xdr:row>
      <xdr:rowOff>99061</xdr:rowOff>
    </xdr:from>
    <xdr:to>
      <xdr:col>13</xdr:col>
      <xdr:colOff>480060</xdr:colOff>
      <xdr:row>8</xdr:row>
      <xdr:rowOff>129540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AGADOR 1">
              <a:extLst>
                <a:ext uri="{FF2B5EF4-FFF2-40B4-BE49-F238E27FC236}">
                  <a16:creationId xmlns:a16="http://schemas.microsoft.com/office/drawing/2014/main" id="{ABD56E90-706A-414E-9E43-3BF907F55E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GA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99960" y="647701"/>
              <a:ext cx="1828800" cy="952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68580</xdr:colOff>
      <xdr:row>4</xdr:row>
      <xdr:rowOff>60960</xdr:rowOff>
    </xdr:from>
    <xdr:to>
      <xdr:col>7</xdr:col>
      <xdr:colOff>571500</xdr:colOff>
      <xdr:row>10</xdr:row>
      <xdr:rowOff>129540</xdr:rowOff>
    </xdr:to>
    <mc:AlternateContent xmlns:mc="http://schemas.openxmlformats.org/markup-compatibility/2006" xmlns:tsle="http://schemas.microsoft.com/office/drawing/2012/timeslicer">
      <mc:Choice Requires="tsle">
        <xdr:graphicFrame macro="[0]!DATA1_Clique">
          <xdr:nvGraphicFramePr>
            <xdr:cNvPr id="7" name="DATA 1">
              <a:extLst>
                <a:ext uri="{FF2B5EF4-FFF2-40B4-BE49-F238E27FC236}">
                  <a16:creationId xmlns:a16="http://schemas.microsoft.com/office/drawing/2014/main" id="{F29D3D3F-6358-4616-AF98-698CAF2569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800100"/>
              <a:ext cx="5120640" cy="1165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0</xdr:col>
      <xdr:colOff>365760</xdr:colOff>
      <xdr:row>24</xdr:row>
      <xdr:rowOff>160020</xdr:rowOff>
    </xdr:from>
    <xdr:to>
      <xdr:col>6</xdr:col>
      <xdr:colOff>38100</xdr:colOff>
      <xdr:row>32</xdr:row>
      <xdr:rowOff>137160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36EF08-66C2-4525-B675-25F6D3950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Gomes" refreshedDate="46188.859342361109" createdVersion="8" refreshedVersion="8" minRefreshableVersion="3" recordCount="377" xr:uid="{C01B34ED-B74D-4D5B-937F-729A33C3AF5C}">
  <cacheSource type="worksheet">
    <worksheetSource name="BASE"/>
  </cacheSource>
  <cacheFields count="6">
    <cacheField name="CÓD DE LANÇ." numFmtId="0">
      <sharedItems containsBlank="1" containsMixedTypes="1" containsNumber="1" containsInteger="1" minValue="6243" maxValue="6246"/>
    </cacheField>
    <cacheField name="DATA" numFmtId="14">
      <sharedItems containsSemiMixedTypes="0" containsNonDate="0" containsDate="1" containsString="0" minDate="2026-05-01T00:00:00" maxDate="2026-05-29T00:00:00"/>
    </cacheField>
    <cacheField name="FORNECEDOR" numFmtId="0">
      <sharedItems/>
    </cacheField>
    <cacheField name="DESPESAS" numFmtId="44">
      <sharedItems containsSemiMixedTypes="0" containsString="0" containsNumber="1" minValue="0.37" maxValue="30310.799999999999"/>
    </cacheField>
    <cacheField name="PAGADOR" numFmtId="0">
      <sharedItems/>
    </cacheField>
    <cacheField name="UNIDADE" numFmtId="0">
      <sharedItems count="2">
        <s v="MATRIZ"/>
        <s v="FILI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Gomes" refreshedDate="46188.859342592594" createdVersion="8" refreshedVersion="8" minRefreshableVersion="3" recordCount="184" xr:uid="{53F841A6-1BDF-4511-B998-BFF847635D26}">
  <cacheSource type="worksheet">
    <worksheetSource name="MovimentoNov2025"/>
  </cacheSource>
  <cacheFields count="4">
    <cacheField name="DATA" numFmtId="14">
      <sharedItems containsSemiMixedTypes="0" containsNonDate="0" containsDate="1" containsString="0" minDate="2026-05-01T00:00:00" maxDate="2026-05-29T00:00:00" count="21">
        <d v="2026-05-01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</sharedItems>
    </cacheField>
    <cacheField name="FORNECEDOR" numFmtId="0">
      <sharedItems count="224">
        <s v="ABASTECIMENTO DE VEÍCULOS"/>
        <s v="MANUTENÇÃO DE VEÍCULOS"/>
        <s v="COMPRAS - ESCRITÓRIO"/>
        <s v="COMPRAS PARA REFEITÓRIO"/>
        <s v="SERVIÇOS DE RECAUCHUTAGEM"/>
        <s v="TARIFAS BANCÁRIAS"/>
        <s v="JUROS DE DESCONTO DE CHEQUES"/>
        <s v="PEDÁGIO"/>
        <s v="FRETE DE COMPRA DE MADEIRA "/>
        <s v="AUX. ALIMENTAÇÃO + DIÁRIA - MOTORISTA"/>
        <s v="COMPRA DE MADEIRA CH 808"/>
        <s v="RASTREAMENTO VEICULAR"/>
        <s v="AJUDA DE CUSTO"/>
        <s v="COMPRA DE MADEIRA CH 870" u="1"/>
        <s v="COMPRA DE MADEIRA CH 1034" u="1"/>
        <s v="RN PNEUS " u="1"/>
        <s v="ÓLEO DE MOTOR" u="1"/>
        <s v="COMPRA DE MADEIRA CH 938" u="1"/>
        <s v="COMPRA DE MADEIRA CH 1029" u="1"/>
        <s v="COMPRA DE MADEIRA CH 1047" u="1"/>
        <s v="COMPRA DE MADEIRA CH 1088" u="1"/>
        <s v="ALUGUEL DE ANDAIME" u="1"/>
        <s v="HAROLDO TORNEIRO" u="1"/>
        <s v="AGROMAIS - PREGOS" u="1"/>
        <s v="JUNQMED PLANO ASSISTENCIAL" u="1"/>
        <s v="KOPPERS NF1096" u="1"/>
        <s v="MAIS SOLUÇÕES RURAIS E AMBIENTAIS" u="1"/>
        <s v="SUSTAÇÃO/REVOGAÇÃO DE CHEQUE" u="1"/>
        <s v="SANCAR PONTUAL" u="1"/>
        <s v="LH PEÇAS E SERVIÇOS" u="1"/>
        <s v="REINALDO LUIZ DA S.ANDRADE   DESPACHANTE" u="1"/>
        <s v="ACERTO - MADEIRAS BARREIRO CH 953" u="1"/>
        <s v="ACERTO - MADEIRAS BARREIRO CH 954" u="1"/>
        <s v="COMPRA DE MADEIRA CH 949" u="1"/>
        <s v="AGRO MAIS" u="1"/>
        <s v="CONFRATERNIZAÇÃO DE FUNCIONÁRIOS" u="1"/>
        <s v="CESTA DE RELACIONAMENTO" u="1"/>
        <s v="VIVO EMPRESA" u="1"/>
        <s v="NEW TIME CONTROLE INDUSTRIA E COMERCIO" u="1"/>
        <s v="INTERMICRO" u="1"/>
        <s v="HC EQUIPAMENTOS" u="1"/>
        <s v="JOÃO BATISTA DO COUTO - FAZ. OURO PRETO" u="1"/>
        <s v="CDL" u="1"/>
        <s v="CONSÓRCIO SICREDI- CAMINHÃO" u="1"/>
        <s v="ARXADA NF 59330" u="1"/>
        <s v="ARXADA NF 59625" u="1"/>
        <s v="EUZÉBIO TRANSPORTES" u="1"/>
        <s v="GUSTAVO - COMPRA DE PÃES" u="1"/>
        <s v="RESSARCIMENTO" u="1"/>
        <s v="ALVARÁ - MATRIZ" u="1"/>
        <s v="JUNIOR CASTOLDI COMÉRCIO E SERVIÇOS" u="1"/>
        <s v="CLOUDWALK IP LTDA" u="1"/>
        <s v="COMPRA DE MADEIRA - PIX" u="1"/>
        <s v="COMPRA DE MADEIRA CH 1038" u="1"/>
        <s v="COMPRA DE MADEIRA CH 942" u="1"/>
        <s v="COMPRA DE MADEIRA CH 1050" u="1"/>
        <s v="COMPRA DE MADEIRA CH 1055" u="1"/>
        <s v="COMPRA DE MADEIRA CH 1120" u="1"/>
        <s v="COMPRA DE MADEIRA CH 1164" u="1"/>
        <s v="COMPRA DE MADEIRA CH 977" u="1"/>
        <s v="ADIANTAMENTO DE SALÁRIO" u="1"/>
        <s v="MARIO CESAR DA CONCEIÇÃO" u="1"/>
        <s v="SAMUEL JORGE SANTANA DA COSTA" u="1"/>
        <s v="MERCADO - BAZINHO" u="1"/>
        <s v="SUHAI SEGURADORA S.A." u="1"/>
        <s v="COMPRA DE MADEIRA CH 1118" u="1"/>
        <s v="COMPRA DE MADEIRA CH 900" u="1"/>
        <s v="DEMETRIUS DO BEM BRANDÃO" u="1"/>
        <s v="KOTUCAY" u="1"/>
        <s v="RECEITA FEDERAL - DARF-SIMPLES" u="1"/>
        <s v="FGTS" u="1"/>
        <s v="IMPERA ESTAMPARIA E CONFECÇÃO" u="1"/>
        <s v="GHW CONECTORES" u="1"/>
        <s v="AGRO MAIS - COMPRA DE PREGOS" u="1"/>
        <s v="IPVA + TX LICENCIAMENTO" u="1"/>
        <s v="IPVA POLO - SGG8H04" u="1"/>
        <s v="ENERGISA" u="1"/>
        <s v="FERROBRAS NF 184150" u="1"/>
        <s v="RESSARCIMENTO - CARMEN" u="1"/>
        <s v="MAYARA APARECIDA DA SILVA CHARRES" u="1"/>
        <s v="SIMONE MOREIRA DE CARVALHO VIEIRAS" u="1"/>
        <s v="COMPRA DE MADEIRA CH 1065" u="1"/>
        <s v="COMPRA DE MADEIRA CH 895" u="1"/>
        <s v="BORDERÔ PARA DESCONTO DE CHEQUES" u="1"/>
        <s v="EAGLE TECNOLOGIA DA INFORMAÇÃO" u="1"/>
        <s v="CONSÓRCIO SICREDI- CAMINHÃO " u="1"/>
        <s v="REMAN AMORTECEDORES MURIAÉ" u="1"/>
        <s v="CONSÓRCIO SICREDI                       CAMINHÃO BI-TRUCK" u="1"/>
        <s v="EMPRÉSTIMO - PÁ CARREGADEIRA" u="1"/>
        <s v="COMPRA DE MADEIRA CH 1062" u="1"/>
        <s v="COMPRA DE MADEIRA CH 1061" u="1"/>
        <s v="CALHA DO REFEITÓRIO CH 1081" u="1"/>
        <s v="COMPRA DE MADEIRA CH 989" u="1"/>
        <s v="COMPRA DE MADEIRA CH 993" u="1"/>
        <s v="COMPRA DE MADEIRA CH 1137" u="1"/>
        <s v="COMPRA DE MADEIRA CH 1145" u="1"/>
        <s v="COMPRA DE MADEIRA CH 902" u="1"/>
        <s v="COMPRA DE MADEIRA CH 1039" u="1"/>
        <s v="COMISSÃO - HENRIQUE" u="1"/>
        <s v="COMISSÃO - J.GERALDO" u="1"/>
        <s v="COMPRA DE MADEIRA CH 971" u="1"/>
        <s v="COMPRA DE MADEIRA CH 1071" u="1"/>
        <s v="JAMEL MORAIS CARVALHO REZENDE" u="1"/>
        <s v="L E A SERVIÇOS DE RECAUCHUTAGEM" u="1"/>
        <s v="PEDRO PAULO DE OLIVEIRA VENTURA" u="1"/>
        <s v="TARIFAS AGRUPADAS" u="1"/>
        <s v="TARIFA PACOTES DE SERVIÇOS" u="1"/>
        <s v="TARIFA SERVIÇOS COBRANÇA BOLETO" u="1"/>
        <s v="IOF BASICO AD PF" u="1"/>
        <s v="JUROS ADTO. CREDITO" u="1"/>
        <s v="IOF ADICIONAL PF-AD.DEP." u="1"/>
        <s v="SEBASTIÃO DE SOUZA NETO" u="1"/>
        <s v="MINISTÉRIO DA JUSTIÇA - MULTA" u="1"/>
        <s v="SEM PARAR - PEDÁGIO" u="1"/>
        <s v="FRETE DE COMPRA DE MADEIRA - PIX" u="1"/>
        <s v="CARTÃO DE CRÉDITO - COMPRA DE GELO" u="1"/>
        <s v="CARTÃO DE CRÉDITO - EMBALAGENS MURIAÉ" u="1"/>
        <s v="CARTÃO DE CRÉDITO - EMPÓRIO LÍDER" u="1"/>
        <s v="COMPRA DE MADEIRA CH 946" u="1"/>
        <s v="COMPRA DE MADEIRA SERRADA CH 1009" u="1"/>
        <s v="FRETE + COMPRA DE MADEIRA CH 826" u="1"/>
        <s v="FRETE + COMPRA DE MADEIRA CH 914" u="1"/>
        <s v="FRETE + COMPRA DE MADEIRA CH 829" u="1"/>
        <s v="FRETE + COMPRA DE MADEIRA CH 930" u="1"/>
        <s v="CONSELHO REGIONAL DE ENGENHARIA E AGRONOMIA DE MINAS GERAIS" u="1"/>
        <s v="JUROS DE CHEQUE ESPECIAL" u="1"/>
        <s v="IOF SOBRE SALDO DEVEDOR" u="1"/>
        <s v="PACOTE DE SERVIÇOS 69-PF PLATINUM" u="1"/>
        <s v="JUROS SOBRE ADTO DEPOSITANTE" u="1"/>
        <s v="ADIANT.DEPOSITANTE" u="1"/>
        <s v="AGROMAIS - EMENDA MANGUEIRA" u="1"/>
        <s v="SANTOS E FERREIRA DE BEM" u="1"/>
        <s v="COMPRA DE CUMEEIRA (13M DE 60CM)" u="1"/>
        <s v="COMPRA DE MADEIRA CH 1015" u="1"/>
        <s v="FRETE + COMPRA DE MADEIRA CH 1021" u="1"/>
        <s v="FRETE + COMPRA DE MADEIRA CH 926" u="1"/>
        <s v="ATACADÃO DAS RAÇÕES" u="1"/>
        <s v="ARXADA NF 59155" u="1"/>
        <s v="GERALDO RODRIGUES DE SOUZA" u="1"/>
        <s v="MARCELO VIDRACEIRO" u="1"/>
        <s v="FERROBRAS" u="1"/>
        <s v="TARIFA MANUT CTA ATIVA" u="1"/>
        <s v="IOF - EMPRÉSTIMOS - COMPLEMENTAR" u="1"/>
        <s v="FRETE + COMPRA DE MADEIRA CH 832" u="1"/>
        <s v="FRETE + COMPRA DE MADEIRA CH 1073" u="1"/>
        <s v="COMPRA DE MADEIRA CH 1116" u="1"/>
        <s v="KOPPERS NF 1306" u="1"/>
        <s v="CONECTORES DO VALE" u="1"/>
        <s v="KOPPERS NF 1096" u="1"/>
        <s v="KOPPERS NF 0679" u="1"/>
        <s v="FOLHA DE PAGAMENTO" u="1"/>
        <s v="AUX. ALIMENTAÇÃO + DIÁRIA" u="1"/>
        <s v="AUX. ALIMENTAÇÃO   " u="1"/>
        <s v="ANTÔNIO JOBIM - PEDREIRO" u="1"/>
        <s v="COMPRAS - SUPERMERCADO BAZINHO" u="1"/>
        <s v="ALUGUEL PROECO - REF. 02/2026" u="1"/>
        <s v="PGTO DO POLO" u="1"/>
        <s v="COMPRA DE MADEIRA CH 987" u="1"/>
        <s v="COMPRA DE MADEIRA CH 1016" u="1"/>
        <s v="COMPRA DE MADEIRA CH 919" u="1"/>
        <s v="COMPRA DE MADEIRA CH 922" u="1"/>
        <s v="FRETE + COMPRA DE MADEIRA CH 835" u="1"/>
        <s v="COMPRA DE MADEIRA CH 839" u="1"/>
        <s v="FRETE + COMPRA DE MADEIRA CH 860" u="1"/>
        <s v="COMPRA DE MADEIRA CH 1024" u="1"/>
        <s v="FRETE DE COMPRA DE MADEIRA - 1079" u="1"/>
        <s v="COMPRA DE MADEIRA SERRADA CH 1028" u="1"/>
        <s v="COMPRA DE MADEIRA CH 1033" u="1"/>
        <s v="COMPRA DE MADEIRA CH 1138" u="1"/>
        <s v="FRETE DE COMPRA DE MADEIRA CH 1080" u="1"/>
        <s v="DESPESAS DE VIAGEM - HENRIQUE" u="1"/>
        <s v="GUILHERMINO RODRIGUES PIMENTEL" u="1"/>
        <s v="FAGUNDES SOLUTION" u="1"/>
        <s v="RN PNEUS - OQH1A78" u="1"/>
        <s v="TV COMÉRCIO DE PRODUTOS DE INFORMÁTICA" u="1"/>
        <s v="WORK DESENVOLVIMENTO DE SOFTWARE" u="1"/>
        <s v="UP PLANO DE ASSITÊNCIA FAMILIAR" u="1"/>
        <s v="DEB. PACOTE SERVIÇOS" u="1"/>
        <s v="PACOTE DE SERVIÇOS 56 EMPRESARIAL" u="1"/>
        <s v="CONTABILIDADE" u="1"/>
        <s v="RECARGA CHIP VIVO - PROECO/BOLETOS" u="1"/>
        <s v="OTÁVIO ZANGALLE MONTES" u="1"/>
        <s v="COMPRA DE MADEIRA CH 984" u="1"/>
        <s v="FRETE + COMPRA DE MADEIRA CH 847" u="1"/>
        <s v="FRETE + COMPRA DE MADEIRA CH 863" u="1"/>
        <s v="FRETE + COMPRA DE MADEIRA CH 1126" u="1"/>
        <s v="FRETE + COMPRA DE MADEIRA CH 956" u="1"/>
        <s v="FRETE DE ENTREGA DE MADEIRAS" u="1"/>
        <s v="FRETE DE COMPRA DE MADEIRA CH 1042" u="1"/>
        <s v="FRETE DE COMPRA DE MADEIRA CH 1103" u="1"/>
        <s v="AUX. ALIMENTAÇÃO " u="1"/>
        <s v="FRETE DE COMPRA DE MADEIRA" u="1"/>
        <s v="FRETE + COMPRA DE MADEIRA CH 1043" u="1"/>
        <s v="FRETE DE COMPRA DE MADEIRA CH 1090" u="1"/>
        <s v="FRETE DE COMPRA DE MADEIRA CH 1108" u="1"/>
        <s v="FRETE DE COMPRA DE MADEIRA- PIX" u="1"/>
        <s v="FRETE DE ENTREGA DE MADEIRAS - PIX" u="1"/>
        <s v="FRETE DE COMPRA DE MADEIRA CH 1139" u="1"/>
        <s v="FRETE + COMPRA DE MADEIRA CH 736" u="1"/>
        <s v="FRETE DE COMPRA DE MADEIRA CH 1127" u="1"/>
        <s v="FRETE + COMPRA DE MADEIRA CH 866" u="1"/>
        <s v="FRETE + COMPRA DE MADEIRA CH 737" u="1"/>
        <s v="FRETE + COMPRA DE MADEIRA CH 980" u="1"/>
        <s v="FRETE DE COMPRA DE MADEIRA CH 1140" u="1"/>
        <s v="FRETE + COMPRA DE MADEIRA CH 906" u="1"/>
        <s v="FRETE + COMPRA DE MADEIRA CH 738" u="1"/>
        <s v="FRETE + COMPRA DE MADEIRA CH 1084" u="1"/>
        <s v="ABASTECIMENTO" u="1"/>
        <s v="ABASTECIMENTO - CAMINHÃO TOCO" u="1"/>
        <s v="VIAÇÃO RIO DOCE" u="1"/>
        <s v="FRANK AUTO TRUCK" u="1"/>
        <s v="BARTOFIL NF8180399" u="1"/>
        <s v="ABASTECIMENTO - POLO" u="1"/>
        <s v="ABASTECIMENTO - MÁQUINAS" u="1"/>
        <s v="ABASTECIMENTO - FIAT" u="1"/>
        <s v="ABASTECIMENTO - IVECO" u="1"/>
        <s v="ABASTECIMENTO - DIESEL" u="1"/>
        <s v="ABASTECIMENTO - BI-TRUCK" u="1"/>
        <s v="BARTOFIL NF 8001984" u="1"/>
        <s v="ABASTECIMENTO - PVS1D75" u="1"/>
        <s v="ABASTECIMENTOS " u="1"/>
        <s v="ABASTECIMENTO -POLO" u="1"/>
        <s v="ABASTECIMENTO " u="1"/>
        <s v="ABASTECIMENTO - GÁS DE COZINHA" u="1"/>
      </sharedItems>
    </cacheField>
    <cacheField name="DESPESAS" numFmtId="44">
      <sharedItems containsSemiMixedTypes="0" containsString="0" containsNumber="1" minValue="0.37" maxValue="10584"/>
    </cacheField>
    <cacheField name="PAGADOR" numFmtId="0">
      <sharedItems count="2">
        <s v="MARIO"/>
        <s v="JOAO"/>
      </sharedItems>
    </cacheField>
  </cacheFields>
  <extLst>
    <ext xmlns:x14="http://schemas.microsoft.com/office/spreadsheetml/2009/9/main" uri="{725AE2AE-9491-48be-B2B4-4EB974FC3084}">
      <x14:pivotCacheDefinition pivotCacheId="12309929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">
  <r>
    <n v="6243"/>
    <d v="2026-05-01T00:00:00"/>
    <s v="ABASTECIMENTO"/>
    <n v="50"/>
    <s v="MARIO"/>
    <x v="0"/>
  </r>
  <r>
    <s v="6244"/>
    <d v="2026-05-04T00:00:00"/>
    <s v="ABASTECIMENTO - CAMINHÃO TOCO"/>
    <n v="560"/>
    <s v="MARIO"/>
    <x v="0"/>
  </r>
  <r>
    <s v="6245"/>
    <d v="2026-05-04T00:00:00"/>
    <s v="VIAÇÃO RIO DOCE"/>
    <n v="55"/>
    <s v="MARIO"/>
    <x v="0"/>
  </r>
  <r>
    <n v="6246"/>
    <d v="2026-05-04T00:00:00"/>
    <s v="FRANK AUTO TRUCK"/>
    <n v="95"/>
    <s v="JOAO"/>
    <x v="0"/>
  </r>
  <r>
    <s v="6247"/>
    <d v="2026-05-04T00:00:00"/>
    <s v="BARTOFIL NF8180399"/>
    <n v="348.2"/>
    <s v="JOAO"/>
    <x v="0"/>
  </r>
  <r>
    <s v="6248"/>
    <d v="2026-05-04T00:00:00"/>
    <s v="JAMEL MORAIS CARVALHO REZENDE"/>
    <n v="454.72"/>
    <s v="JOAO"/>
    <x v="0"/>
  </r>
  <r>
    <s v="6249"/>
    <d v="2026-05-04T00:00:00"/>
    <s v="L E A SERVIÇOS DE RECAUCHUTAGEM"/>
    <n v="824"/>
    <s v="JOAO"/>
    <x v="0"/>
  </r>
  <r>
    <s v="6250"/>
    <d v="2026-05-04T00:00:00"/>
    <s v="SAMUEL JORGE SANTANA DA COSTA"/>
    <n v="1399.33"/>
    <s v="JOAO"/>
    <x v="0"/>
  </r>
  <r>
    <s v="6251"/>
    <d v="2026-05-04T00:00:00"/>
    <s v="PEDRO PAULO DE OLIVEIRA VENTURA"/>
    <n v="1469.17"/>
    <s v="JOAO"/>
    <x v="0"/>
  </r>
  <r>
    <s v="6379"/>
    <d v="2026-05-04T00:00:00"/>
    <s v="L E A SERVIÇOS DE RECAUCHUTAGEM"/>
    <n v="824"/>
    <s v="JOAO"/>
    <x v="0"/>
  </r>
  <r>
    <s v="6382"/>
    <d v="2026-05-04T00:00:00"/>
    <s v="TARIFAS AGRUPADAS"/>
    <n v="10"/>
    <s v="JOAO"/>
    <x v="0"/>
  </r>
  <r>
    <s v="6383"/>
    <d v="2026-05-04T00:00:00"/>
    <s v="TARIFA PACOTES DE SERVIÇOS"/>
    <n v="81.400000000000006"/>
    <s v="JOAO"/>
    <x v="0"/>
  </r>
  <r>
    <s v="6384"/>
    <d v="2026-05-04T00:00:00"/>
    <s v="TARIFA SERVIÇOS COBRANÇA BOLETO"/>
    <n v="11.08"/>
    <s v="JOAO"/>
    <x v="0"/>
  </r>
  <r>
    <s v="6385"/>
    <d v="2026-05-04T00:00:00"/>
    <s v="IOF BASICO AD PF"/>
    <n v="69.709999999999994"/>
    <s v="MARIO"/>
    <x v="0"/>
  </r>
  <r>
    <s v="6386"/>
    <d v="2026-05-04T00:00:00"/>
    <s v="JUROS ADTO. CREDITO"/>
    <n v="111.07"/>
    <s v="MARIO"/>
    <x v="0"/>
  </r>
  <r>
    <s v="6387"/>
    <d v="2026-05-04T00:00:00"/>
    <s v="IOF BASICO AD PF"/>
    <n v="0.75"/>
    <s v="MARIO"/>
    <x v="0"/>
  </r>
  <r>
    <s v="6388"/>
    <d v="2026-05-04T00:00:00"/>
    <s v="IOF BASICO AD PF"/>
    <n v="0.75"/>
    <s v="MARIO"/>
    <x v="0"/>
  </r>
  <r>
    <s v="6389"/>
    <d v="2026-05-04T00:00:00"/>
    <s v="IOF ADICIONAL PF-AD.DEP."/>
    <n v="642.94000000000005"/>
    <s v="MARIO"/>
    <x v="0"/>
  </r>
  <r>
    <s v="6390"/>
    <d v="2026-05-04T00:00:00"/>
    <s v="TARIFA SERVIÇOS COBRANÇA BOLETO"/>
    <n v="5.54"/>
    <s v="MARIO"/>
    <x v="0"/>
  </r>
  <r>
    <s v="6252"/>
    <d v="2026-05-05T00:00:00"/>
    <s v="ABASTECIMENTO - POLO"/>
    <n v="150"/>
    <s v="MARIO"/>
    <x v="0"/>
  </r>
  <r>
    <s v="6253"/>
    <d v="2026-05-05T00:00:00"/>
    <s v="ABASTECIMENTO - CAMINHÃO TOCO"/>
    <n v="130"/>
    <s v="MARIO"/>
    <x v="0"/>
  </r>
  <r>
    <s v="6254"/>
    <d v="2026-05-05T00:00:00"/>
    <s v="SEBASTIÃO DE SOUZA NETO"/>
    <n v="8985.5"/>
    <s v="MARIO"/>
    <x v="0"/>
  </r>
  <r>
    <s v="6255"/>
    <d v="2026-05-05T00:00:00"/>
    <s v="MINISTÉRIO DA JUSTIÇA - MULTA"/>
    <n v="78.09"/>
    <s v="MARIO"/>
    <x v="0"/>
  </r>
  <r>
    <s v="6256"/>
    <d v="2026-05-05T00:00:00"/>
    <s v="SEM PARAR - PEDÁGIO"/>
    <n v="760.33"/>
    <s v="MARIO"/>
    <x v="0"/>
  </r>
  <r>
    <s v="6257"/>
    <d v="2026-05-05T00:00:00"/>
    <s v="FRETE DE COMPRA DE MADEIRA - PIX"/>
    <n v="3450"/>
    <s v="MARIO"/>
    <x v="0"/>
  </r>
  <r>
    <s v="6258"/>
    <d v="2026-05-05T00:00:00"/>
    <s v="CARTÃO DE CRÉDITO - COMPRA DE GELO"/>
    <n v="84"/>
    <s v="MARIO"/>
    <x v="0"/>
  </r>
  <r>
    <s v="6259"/>
    <d v="2026-05-05T00:00:00"/>
    <s v="CARTÃO DE CRÉDITO - EMBALAGENS MURIAÉ"/>
    <n v="188.2"/>
    <s v="MARIO"/>
    <x v="0"/>
  </r>
  <r>
    <s v="6260"/>
    <d v="2026-05-05T00:00:00"/>
    <s v="CARTÃO DE CRÉDITO - EMPÓRIO LÍDER"/>
    <n v="145.47"/>
    <s v="MARIO"/>
    <x v="0"/>
  </r>
  <r>
    <s v="6261"/>
    <d v="2026-05-05T00:00:00"/>
    <s v="JUROS DE DESCONTO DE CHEQUES"/>
    <n v="1592.75"/>
    <s v="MARIO"/>
    <x v="0"/>
  </r>
  <r>
    <s v="6262"/>
    <d v="2026-05-05T00:00:00"/>
    <s v="COMPRA DE MADEIRA CH 946"/>
    <n v="4837"/>
    <s v="MARIO"/>
    <x v="0"/>
  </r>
  <r>
    <s v="6263"/>
    <d v="2026-05-05T00:00:00"/>
    <s v="COMPRA DE MADEIRA SERRADA CH 1009"/>
    <n v="5446"/>
    <s v="MARIO"/>
    <x v="0"/>
  </r>
  <r>
    <s v="6264"/>
    <d v="2026-05-05T00:00:00"/>
    <s v="FRETE + COMPRA DE MADEIRA CH 826"/>
    <n v="7036.68"/>
    <s v="MARIO"/>
    <x v="0"/>
  </r>
  <r>
    <s v="6265"/>
    <d v="2026-05-05T00:00:00"/>
    <s v="FRETE + COMPRA DE MADEIRA CH 914"/>
    <n v="3972.5"/>
    <s v="MARIO"/>
    <x v="0"/>
  </r>
  <r>
    <s v="6266"/>
    <d v="2026-05-05T00:00:00"/>
    <s v="FRETE + COMPRA DE MADEIRA CH 829"/>
    <n v="5924.05"/>
    <s v="MARIO"/>
    <x v="0"/>
  </r>
  <r>
    <s v="6267"/>
    <d v="2026-05-05T00:00:00"/>
    <s v="FRETE + COMPRA DE MADEIRA CH 930"/>
    <n v="4137.75"/>
    <s v="MARIO"/>
    <x v="0"/>
  </r>
  <r>
    <s v="6268"/>
    <d v="2026-05-05T00:00:00"/>
    <s v="CONSELHO REGIONAL DE ENGENHARIA E AGRONOMIA DE MINAS GERAIS"/>
    <n v="108.39"/>
    <s v="JOAO"/>
    <x v="0"/>
  </r>
  <r>
    <s v="6269"/>
    <d v="2026-05-05T00:00:00"/>
    <s v="ABASTECIMENTO - MÁQUINAS"/>
    <n v="1011"/>
    <s v="JOAO"/>
    <x v="0"/>
  </r>
  <r>
    <s v="6270"/>
    <d v="2026-05-05T00:00:00"/>
    <s v="ABASTECIMENTO - CAMINHÃO TOCO"/>
    <n v="430.08"/>
    <s v="JOAO"/>
    <x v="0"/>
  </r>
  <r>
    <s v="6325"/>
    <d v="2026-05-05T00:00:00"/>
    <s v="ABASTECIMENTO"/>
    <n v="50"/>
    <s v="MARIO"/>
    <x v="0"/>
  </r>
  <r>
    <s v="6326"/>
    <d v="2026-05-05T00:00:00"/>
    <s v="ABASTECIMENTO - FIAT"/>
    <n v="284.64999999999998"/>
    <s v="MARIO"/>
    <x v="0"/>
  </r>
  <r>
    <s v="6391"/>
    <d v="2026-05-05T00:00:00"/>
    <s v="JUROS DE CHEQUE ESPECIAL"/>
    <n v="99.27"/>
    <s v="JOAO"/>
    <x v="0"/>
  </r>
  <r>
    <s v="6392"/>
    <d v="2026-05-05T00:00:00"/>
    <s v="IOF SOBRE SALDO DEVEDOR"/>
    <n v="61.01"/>
    <s v="JOAO"/>
    <x v="0"/>
  </r>
  <r>
    <s v="6393"/>
    <d v="2026-05-05T00:00:00"/>
    <s v="TARIFA SERVIÇOS COBRANÇA BOLETO"/>
    <n v="5.54"/>
    <s v="JOAO"/>
    <x v="0"/>
  </r>
  <r>
    <s v="6394"/>
    <d v="2026-05-05T00:00:00"/>
    <s v="TARIFA SERVIÇOS COBRANÇA BOLETO"/>
    <n v="5.54"/>
    <s v="JOAO"/>
    <x v="0"/>
  </r>
  <r>
    <s v="6395"/>
    <d v="2026-05-05T00:00:00"/>
    <s v="IOF BASICO AD PF"/>
    <n v="0.75"/>
    <s v="MARIO"/>
    <x v="0"/>
  </r>
  <r>
    <s v="6396"/>
    <d v="2026-05-05T00:00:00"/>
    <s v="PACOTE DE SERVIÇOS 69-PF PLATINUM"/>
    <n v="250.73"/>
    <s v="MARIO"/>
    <x v="0"/>
  </r>
  <r>
    <s v="6397"/>
    <d v="2026-05-05T00:00:00"/>
    <s v="IOF SOBRE SALDO DEVEDOR"/>
    <n v="139.83000000000001"/>
    <s v="MARIO"/>
    <x v="0"/>
  </r>
  <r>
    <s v="6398"/>
    <d v="2026-05-05T00:00:00"/>
    <s v="JUROS SOBRE ADTO DEPOSITANTE"/>
    <n v="81.08"/>
    <s v="MARIO"/>
    <x v="0"/>
  </r>
  <r>
    <s v="6399"/>
    <d v="2026-05-05T00:00:00"/>
    <s v="ADIANT.DEPOSITANTE"/>
    <n v="69.25"/>
    <s v="MARIO"/>
    <x v="0"/>
  </r>
  <r>
    <s v="6400"/>
    <d v="2026-05-05T00:00:00"/>
    <s v="JUROS DE CHEQUE ESPECIAL"/>
    <n v="228.72"/>
    <s v="MARIO"/>
    <x v="0"/>
  </r>
  <r>
    <s v="6401"/>
    <d v="2026-05-05T00:00:00"/>
    <s v="TARIFA SERVIÇOS COBRANÇA BOLETO"/>
    <n v="16.62"/>
    <s v="MARIO"/>
    <x v="0"/>
  </r>
  <r>
    <s v="6271"/>
    <d v="2026-05-06T00:00:00"/>
    <s v="AGROMAIS - EMENDA MANGUEIRA"/>
    <n v="18"/>
    <s v="MARIO"/>
    <x v="0"/>
  </r>
  <r>
    <s v="6272"/>
    <d v="2026-05-06T00:00:00"/>
    <s v="ARXADA NF 59330"/>
    <n v="7231.83"/>
    <s v="MARIO"/>
    <x v="0"/>
  </r>
  <r>
    <s v="6273"/>
    <d v="2026-05-06T00:00:00"/>
    <s v="ARXADA NF 59625"/>
    <n v="7375.25"/>
    <s v="MARIO"/>
    <x v="0"/>
  </r>
  <r>
    <s v="6274"/>
    <d v="2026-05-06T00:00:00"/>
    <s v="SANTOS E FERREIRA DE BEM"/>
    <n v="570"/>
    <s v="MARIO"/>
    <x v="0"/>
  </r>
  <r>
    <s v="6275"/>
    <d v="2026-05-06T00:00:00"/>
    <s v="FRETE DE COMPRA DE MADEIRA - PIX"/>
    <n v="4350"/>
    <s v="MARIO"/>
    <x v="0"/>
  </r>
  <r>
    <s v="6276"/>
    <d v="2026-05-06T00:00:00"/>
    <s v="COMPRA DE CUMEEIRA (13M DE 60CM)"/>
    <n v="520"/>
    <s v="MARIO"/>
    <x v="0"/>
  </r>
  <r>
    <s v="6277"/>
    <d v="2026-05-06T00:00:00"/>
    <s v="JUROS DE DESCONTO DE CHEQUES"/>
    <n v="977.08"/>
    <s v="MARIO"/>
    <x v="0"/>
  </r>
  <r>
    <s v="6278"/>
    <d v="2026-05-06T00:00:00"/>
    <s v="BORDERÔ PARA DESCONTO DE CHEQUES"/>
    <n v="1051.81"/>
    <s v="MARIO"/>
    <x v="0"/>
  </r>
  <r>
    <s v="6279"/>
    <d v="2026-05-06T00:00:00"/>
    <s v="COMPRA DE MADEIRA CH 1015"/>
    <n v="4680"/>
    <s v="MARIO"/>
    <x v="0"/>
  </r>
  <r>
    <s v="6280"/>
    <d v="2026-05-06T00:00:00"/>
    <s v="FRETE + COMPRA DE MADEIRA CH 1021"/>
    <n v="4036"/>
    <s v="MARIO"/>
    <x v="0"/>
  </r>
  <r>
    <s v="6281"/>
    <d v="2026-05-06T00:00:00"/>
    <s v="FRETE + COMPRA DE MADEIRA CH 926"/>
    <n v="4068.75"/>
    <s v="MARIO"/>
    <x v="0"/>
  </r>
  <r>
    <s v="6282"/>
    <d v="2026-05-06T00:00:00"/>
    <s v="ATACADÃO DAS RAÇÕES"/>
    <n v="24"/>
    <s v="JOAO"/>
    <x v="0"/>
  </r>
  <r>
    <s v="6283"/>
    <d v="2026-05-06T00:00:00"/>
    <s v="ABASTECIMENTO - CAMINHÃO TOCO"/>
    <n v="600"/>
    <s v="JOAO"/>
    <x v="0"/>
  </r>
  <r>
    <s v="6284"/>
    <d v="2026-05-06T00:00:00"/>
    <s v="ARXADA NF 59155"/>
    <n v="7231.84"/>
    <s v="JOAO"/>
    <x v="0"/>
  </r>
  <r>
    <s v="6285"/>
    <d v="2026-05-06T00:00:00"/>
    <s v="GERALDO RODRIGUES DE SOUZA"/>
    <n v="800"/>
    <s v="MARIO"/>
    <x v="0"/>
  </r>
  <r>
    <s v="6286"/>
    <d v="2026-05-06T00:00:00"/>
    <s v="ABASTECIMENTO - MÁQUINAS"/>
    <n v="1142.9000000000001"/>
    <s v="MARIO"/>
    <x v="0"/>
  </r>
  <r>
    <s v="6287"/>
    <d v="2026-05-06T00:00:00"/>
    <s v="MARCELO VIDRACEIRO"/>
    <n v="130"/>
    <s v="MARIO"/>
    <x v="0"/>
  </r>
  <r>
    <s v="6288"/>
    <d v="2026-05-06T00:00:00"/>
    <s v="ABASTECIMENTO - IVECO"/>
    <n v="320"/>
    <s v="MARIO"/>
    <x v="0"/>
  </r>
  <r>
    <s v="6289"/>
    <d v="2026-05-06T00:00:00"/>
    <s v="FERROBRAS"/>
    <n v="339.44"/>
    <s v="MARIO"/>
    <x v="0"/>
  </r>
  <r>
    <s v="6402"/>
    <d v="2026-05-06T00:00:00"/>
    <s v="TARIFA MANUT CTA ATIVA"/>
    <n v="40"/>
    <s v="JOAO"/>
    <x v="0"/>
  </r>
  <r>
    <s v="6403"/>
    <d v="2026-05-06T00:00:00"/>
    <s v="TARIFA SERVIÇOS COBRANÇA BOLETO"/>
    <n v="8.31"/>
    <s v="JOAO"/>
    <x v="0"/>
  </r>
  <r>
    <s v="6404"/>
    <d v="2026-05-06T00:00:00"/>
    <s v="IOF BASICO AD PF"/>
    <n v="3.23"/>
    <s v="MARIO"/>
    <x v="0"/>
  </r>
  <r>
    <s v="6405"/>
    <d v="2026-05-06T00:00:00"/>
    <s v="IOF - EMPRÉSTIMOS - COMPLEMENTAR"/>
    <n v="180.22"/>
    <s v="MARIO"/>
    <x v="0"/>
  </r>
  <r>
    <s v="6406"/>
    <d v="2026-05-06T00:00:00"/>
    <s v="TARIFA SERVIÇOS COBRANÇA BOLETO"/>
    <n v="2.77"/>
    <s v="MARIO"/>
    <x v="0"/>
  </r>
  <r>
    <s v="6407"/>
    <d v="2026-05-07T00:00:00"/>
    <s v="IOF BASICO AD PF"/>
    <n v="0.96"/>
    <s v="MARIO"/>
    <x v="0"/>
  </r>
  <r>
    <s v="6290"/>
    <d v="2026-05-07T00:00:00"/>
    <s v="JUROS DE DESCONTO DE CHEQUES"/>
    <n v="855.42"/>
    <s v="MARIO"/>
    <x v="0"/>
  </r>
  <r>
    <s v="6291"/>
    <d v="2026-05-07T00:00:00"/>
    <s v="FRETE DE COMPRA DE MADEIRA - PIX"/>
    <n v="4500"/>
    <s v="MARIO"/>
    <x v="0"/>
  </r>
  <r>
    <s v="6292"/>
    <d v="2026-05-07T00:00:00"/>
    <s v="FRETE DE COMPRA DE MADEIRA - PIX"/>
    <n v="3600"/>
    <s v="MARIO"/>
    <x v="0"/>
  </r>
  <r>
    <s v="6293"/>
    <d v="2026-05-07T00:00:00"/>
    <s v="FRETE DE COMPRA DE MADEIRA - PIX"/>
    <n v="2650"/>
    <s v="MARIO"/>
    <x v="0"/>
  </r>
  <r>
    <s v="6294"/>
    <d v="2026-05-07T00:00:00"/>
    <s v="FRETE DE COMPRA DE MADEIRA - PIX"/>
    <n v="2650"/>
    <s v="MARIO"/>
    <x v="0"/>
  </r>
  <r>
    <s v="6295"/>
    <d v="2026-05-07T00:00:00"/>
    <s v="FRETE + COMPRA DE MADEIRA CH 832"/>
    <n v="6916.3"/>
    <s v="MARIO"/>
    <x v="0"/>
  </r>
  <r>
    <s v="6296"/>
    <d v="2026-05-07T00:00:00"/>
    <s v="FRETE + COMPRA DE MADEIRA CH 1073"/>
    <n v="2650"/>
    <s v="MARIO"/>
    <x v="0"/>
  </r>
  <r>
    <s v="6297"/>
    <d v="2026-05-07T00:00:00"/>
    <s v="COMPRA DE MADEIRA CH 1116"/>
    <n v="10021"/>
    <s v="MARIO"/>
    <x v="0"/>
  </r>
  <r>
    <s v="6298"/>
    <d v="2026-05-07T00:00:00"/>
    <s v="KOPPERS NF 1306"/>
    <n v="7554.3"/>
    <s v="MARIO"/>
    <x v="0"/>
  </r>
  <r>
    <s v="6299"/>
    <d v="2026-05-07T00:00:00"/>
    <s v="CONECTORES DO VALE"/>
    <n v="185"/>
    <s v="MARIO"/>
    <x v="0"/>
  </r>
  <r>
    <s v="6300"/>
    <d v="2026-05-07T00:00:00"/>
    <s v="KOPPERS NF 1096"/>
    <n v="7583.16"/>
    <s v="JOAO"/>
    <x v="0"/>
  </r>
  <r>
    <s v="6301"/>
    <d v="2026-05-07T00:00:00"/>
    <s v="KOPPERS NF 0679"/>
    <n v="7294.5"/>
    <s v="JOAO"/>
    <x v="0"/>
  </r>
  <r>
    <s v="6302"/>
    <d v="2026-05-07T00:00:00"/>
    <s v="ABASTECIMENTO - CAMINHÃO TOCO"/>
    <n v="693.01"/>
    <s v="JOAO"/>
    <x v="0"/>
  </r>
  <r>
    <s v="6303"/>
    <d v="2026-05-07T00:00:00"/>
    <s v="SANCAR PONTUAL"/>
    <n v="1427.88"/>
    <s v="JOAO"/>
    <x v="0"/>
  </r>
  <r>
    <s v="6327"/>
    <d v="2026-05-07T00:00:00"/>
    <s v="FOLHA DE PAGAMENTO"/>
    <n v="30310.799999999999"/>
    <s v="MARIO"/>
    <x v="0"/>
  </r>
  <r>
    <s v="6408"/>
    <d v="2026-05-07T00:00:00"/>
    <s v="TARIFA SERVIÇOS COBRANÇA BOLETO"/>
    <n v="2.77"/>
    <s v="JOAO"/>
    <x v="0"/>
  </r>
  <r>
    <s v="6409"/>
    <d v="2026-05-07T00:00:00"/>
    <s v="TARIFA SERVIÇOS COBRANÇA BOLETO"/>
    <n v="2.77"/>
    <s v="MARIO"/>
    <x v="0"/>
  </r>
  <r>
    <s v="6304"/>
    <d v="2026-05-08T00:00:00"/>
    <s v="SEM PARAR - PEDÁGIO"/>
    <n v="758.06"/>
    <s v="MARIO"/>
    <x v="0"/>
  </r>
  <r>
    <s v="6305"/>
    <d v="2026-05-08T00:00:00"/>
    <s v="JUROS DE DESCONTO DE CHEQUES"/>
    <n v="2558.66"/>
    <s v="MARIO"/>
    <x v="0"/>
  </r>
  <r>
    <s v="6306"/>
    <d v="2026-05-08T00:00:00"/>
    <s v="BORDERÔ PARA DESCONTO DE CHEQUES"/>
    <n v="180.61"/>
    <s v="MARIO"/>
    <x v="0"/>
  </r>
  <r>
    <s v="6307"/>
    <d v="2026-05-08T00:00:00"/>
    <s v="BORDERÔ PARA DESCONTO DE CHEQUES"/>
    <n v="82.25"/>
    <s v="MARIO"/>
    <x v="0"/>
  </r>
  <r>
    <s v="6308"/>
    <d v="2026-05-08T00:00:00"/>
    <s v="BORDERÔ PARA DESCONTO DE CHEQUES"/>
    <n v="342.13"/>
    <s v="MARIO"/>
    <x v="0"/>
  </r>
  <r>
    <s v="6328"/>
    <d v="2026-05-08T00:00:00"/>
    <s v="ABASTECIMENTO - DIESEL"/>
    <n v="150"/>
    <s v="MARIO"/>
    <x v="0"/>
  </r>
  <r>
    <s v="6329"/>
    <d v="2026-05-08T00:00:00"/>
    <s v="AUX. ALIMENTAÇÃO + DIÁRIA"/>
    <n v="320"/>
    <s v="MARIO"/>
    <x v="0"/>
  </r>
  <r>
    <s v="6330"/>
    <d v="2026-05-08T00:00:00"/>
    <s v="AJUDA DE CUSTO"/>
    <n v="220"/>
    <s v="MARIO"/>
    <x v="0"/>
  </r>
  <r>
    <s v="6331"/>
    <d v="2026-05-08T00:00:00"/>
    <s v="AUX. ALIMENTAÇÃO + DIÁRIA"/>
    <n v="320"/>
    <s v="MARIO"/>
    <x v="0"/>
  </r>
  <r>
    <s v="6332"/>
    <d v="2026-05-08T00:00:00"/>
    <s v="AUX. ALIMENTAÇÃO   "/>
    <n v="150"/>
    <s v="MARIO"/>
    <x v="0"/>
  </r>
  <r>
    <s v="6333"/>
    <d v="2026-05-08T00:00:00"/>
    <s v="ANTÔNIO JOBIM - PEDREIRO"/>
    <n v="519.16999999999996"/>
    <s v="MARIO"/>
    <x v="0"/>
  </r>
  <r>
    <s v="6334"/>
    <d v="2026-05-08T00:00:00"/>
    <s v="COMPRAS - SUPERMERCADO BAZINHO"/>
    <n v="761.45"/>
    <s v="MARIO"/>
    <x v="0"/>
  </r>
  <r>
    <s v="6335"/>
    <d v="2026-05-08T00:00:00"/>
    <s v="FRETE DE COMPRA DE MADEIRA - PIX"/>
    <n v="4680"/>
    <s v="MARIO"/>
    <x v="0"/>
  </r>
  <r>
    <s v="6336"/>
    <d v="2026-05-08T00:00:00"/>
    <s v="FRETE DE COMPRA DE MADEIRA - PIX"/>
    <n v="5200"/>
    <s v="MARIO"/>
    <x v="0"/>
  </r>
  <r>
    <s v="6337"/>
    <d v="2026-05-08T00:00:00"/>
    <s v="ABASTECIMENTO - BI-TRUCK"/>
    <n v="5314.33"/>
    <s v="JOAO"/>
    <x v="0"/>
  </r>
  <r>
    <s v="6338"/>
    <d v="2026-05-08T00:00:00"/>
    <s v="ABASTECIMENTO - CAMINHÃO TOCO"/>
    <n v="253.81"/>
    <s v="JOAO"/>
    <x v="0"/>
  </r>
  <r>
    <s v="6339"/>
    <d v="2026-05-08T00:00:00"/>
    <s v="ABASTECIMENTO - MÁQUINAS"/>
    <n v="1011"/>
    <s v="JOAO"/>
    <x v="0"/>
  </r>
  <r>
    <s v="6410"/>
    <d v="2026-05-08T00:00:00"/>
    <s v="TARIFA SERVIÇOS COBRANÇA BOLETO"/>
    <n v="5.54"/>
    <s v="JOAO"/>
    <x v="0"/>
  </r>
  <r>
    <s v="6411"/>
    <d v="2026-05-08T00:00:00"/>
    <s v="TARIFA SERVIÇOS COBRANÇA BOLETO"/>
    <n v="2.77"/>
    <s v="JOAO"/>
    <x v="0"/>
  </r>
  <r>
    <s v="6412"/>
    <d v="2026-05-08T00:00:00"/>
    <s v="IOF BASICO AD PF"/>
    <n v="1.5"/>
    <s v="MARIO"/>
    <x v="0"/>
  </r>
  <r>
    <s v="6413"/>
    <d v="2026-05-08T00:00:00"/>
    <s v="IOF - EMPRÉSTIMOS - COMPLEMENTAR"/>
    <n v="57.42"/>
    <s v="MARIO"/>
    <x v="0"/>
  </r>
  <r>
    <s v="6414"/>
    <d v="2026-05-08T00:00:00"/>
    <s v="IOF - EMPRÉSTIMOS - COMPLEMENTAR"/>
    <n v="56.69"/>
    <s v="MARIO"/>
    <x v="0"/>
  </r>
  <r>
    <s v="6415"/>
    <d v="2026-05-08T00:00:00"/>
    <s v="IOF - EMPRÉSTIMOS - COMPLEMENTAR"/>
    <n v="18.07"/>
    <s v="MARIO"/>
    <x v="0"/>
  </r>
  <r>
    <s v="6340"/>
    <d v="2026-05-09T00:00:00"/>
    <s v="ALUGUEL PROECO - REF. 02/2026"/>
    <n v="7212.1"/>
    <s v="JOAO"/>
    <x v="0"/>
  </r>
  <r>
    <s v="6341"/>
    <d v="2026-05-09T00:00:00"/>
    <s v="ABASTECIMENTO"/>
    <n v="100"/>
    <s v="MARIO"/>
    <x v="0"/>
  </r>
  <r>
    <s v="6342"/>
    <d v="2026-05-09T00:00:00"/>
    <s v="PGTO DO POLO"/>
    <n v="1900"/>
    <s v="MARIO"/>
    <x v="0"/>
  </r>
  <r>
    <s v="6309"/>
    <d v="2026-05-11T00:00:00"/>
    <s v="COMPRA DE MADEIRA CH 987"/>
    <n v="4350"/>
    <s v="MARIO"/>
    <x v="0"/>
  </r>
  <r>
    <s v="6310"/>
    <d v="2026-05-11T00:00:00"/>
    <s v="COMPRA DE MADEIRA CH 1016"/>
    <n v="9046"/>
    <s v="MARIO"/>
    <x v="0"/>
  </r>
  <r>
    <s v="6311"/>
    <d v="2026-05-11T00:00:00"/>
    <s v="COMPRA DE MADEIRA CH 919"/>
    <n v="6882.5"/>
    <s v="MARIO"/>
    <x v="0"/>
  </r>
  <r>
    <s v="6312"/>
    <d v="2026-05-11T00:00:00"/>
    <s v="COMPRA DE MADEIRA CH 922"/>
    <n v="4786.55"/>
    <s v="MARIO"/>
    <x v="0"/>
  </r>
  <r>
    <s v="6313"/>
    <d v="2026-05-11T00:00:00"/>
    <s v="FRETE + COMPRA DE MADEIRA CH 835"/>
    <n v="4215.83"/>
    <s v="MARIO"/>
    <x v="0"/>
  </r>
  <r>
    <s v="6314"/>
    <d v="2026-05-11T00:00:00"/>
    <s v="COMPRA DE MADEIRA CH 839"/>
    <n v="3206.4"/>
    <s v="MARIO"/>
    <x v="0"/>
  </r>
  <r>
    <s v="6315"/>
    <d v="2026-05-11T00:00:00"/>
    <s v="FRETE + COMPRA DE MADEIRA CH 860"/>
    <n v="6777.75"/>
    <s v="MARIO"/>
    <x v="0"/>
  </r>
  <r>
    <s v="6316"/>
    <d v="2026-05-11T00:00:00"/>
    <s v="COMPRA DE MADEIRA CH 1024"/>
    <n v="11706.5"/>
    <s v="MARIO"/>
    <x v="0"/>
  </r>
  <r>
    <s v="6317"/>
    <d v="2026-05-11T00:00:00"/>
    <s v="FRETE DE COMPRA DE MADEIRA - 1079"/>
    <n v="3600"/>
    <s v="MARIO"/>
    <x v="0"/>
  </r>
  <r>
    <s v="6318"/>
    <d v="2026-05-11T00:00:00"/>
    <s v="COMPRA DE MADEIRA SERRADA CH 1028"/>
    <n v="2700"/>
    <s v="MARIO"/>
    <x v="0"/>
  </r>
  <r>
    <s v="6319"/>
    <d v="2026-05-11T00:00:00"/>
    <s v="JUROS DE DESCONTO DE CHEQUES"/>
    <n v="1476.41"/>
    <s v="MARIO"/>
    <x v="0"/>
  </r>
  <r>
    <s v="6320"/>
    <d v="2026-05-11T00:00:00"/>
    <s v="COMPRA DE MADEIRA CH 808"/>
    <n v="9229"/>
    <s v="MARIO"/>
    <x v="0"/>
  </r>
  <r>
    <s v="6321"/>
    <d v="2026-05-11T00:00:00"/>
    <s v="COMPRA DE MADEIRA CH 1033"/>
    <n v="5671.5"/>
    <s v="MARIO"/>
    <x v="0"/>
  </r>
  <r>
    <s v="6322"/>
    <d v="2026-05-11T00:00:00"/>
    <s v="COMPRA DE MADEIRA CH 1138"/>
    <n v="14299"/>
    <s v="MARIO"/>
    <x v="0"/>
  </r>
  <r>
    <s v="6323"/>
    <d v="2026-05-11T00:00:00"/>
    <s v="FRETE DE COMPRA DE MADEIRA CH 1080"/>
    <n v="4650"/>
    <s v="MARIO"/>
    <x v="0"/>
  </r>
  <r>
    <s v="6343"/>
    <d v="2026-05-11T00:00:00"/>
    <s v="DESPESAS DE VIAGEM - HENRIQUE"/>
    <n v="245.57"/>
    <s v="MARIO"/>
    <x v="0"/>
  </r>
  <r>
    <s v="6344"/>
    <d v="2026-05-11T00:00:00"/>
    <s v="GUILHERMINO RODRIGUES PIMENTEL"/>
    <n v="1000"/>
    <s v="MARIO"/>
    <x v="0"/>
  </r>
  <r>
    <s v="6345"/>
    <d v="2026-05-11T00:00:00"/>
    <s v="ABASTECIMENTO - MÁQUINAS"/>
    <n v="996"/>
    <s v="MARIO"/>
    <x v="0"/>
  </r>
  <r>
    <s v="6346"/>
    <d v="2026-05-11T00:00:00"/>
    <s v="FAGUNDES SOLUTION"/>
    <n v="13000"/>
    <s v="JOAO"/>
    <x v="0"/>
  </r>
  <r>
    <s v="6347"/>
    <d v="2026-05-11T00:00:00"/>
    <s v="RN PNEUS - OQH1A78"/>
    <n v="160.72"/>
    <s v="JOAO"/>
    <x v="0"/>
  </r>
  <r>
    <s v="6348"/>
    <d v="2026-05-11T00:00:00"/>
    <s v="KOTUCAY"/>
    <n v="897"/>
    <s v="JOAO"/>
    <x v="0"/>
  </r>
  <r>
    <s v="6349"/>
    <d v="2026-05-11T00:00:00"/>
    <s v="TV COMÉRCIO DE PRODUTOS DE INFORMÁTICA"/>
    <n v="630"/>
    <s v="JOAO"/>
    <x v="0"/>
  </r>
  <r>
    <s v="6350"/>
    <d v="2026-05-11T00:00:00"/>
    <s v="JAMEL MORAIS CARVALHO REZENDE"/>
    <n v="348.46"/>
    <s v="JOAO"/>
    <x v="0"/>
  </r>
  <r>
    <s v="6351"/>
    <d v="2026-05-11T00:00:00"/>
    <s v="WORK DESENVOLVIMENTO DE SOFTWARE"/>
    <n v="319"/>
    <s v="JOAO"/>
    <x v="0"/>
  </r>
  <r>
    <s v="6352"/>
    <d v="2026-05-11T00:00:00"/>
    <s v="BARTOFIL NF8180399"/>
    <n v="348.2"/>
    <s v="JOAO"/>
    <x v="0"/>
  </r>
  <r>
    <s v="6353"/>
    <d v="2026-05-11T00:00:00"/>
    <s v="UP PLANO DE ASSITÊNCIA FAMILIAR"/>
    <n v="640.9"/>
    <s v="JOAO"/>
    <x v="0"/>
  </r>
  <r>
    <s v="6354"/>
    <d v="2026-05-11T00:00:00"/>
    <s v="BARTOFIL NF 8001984"/>
    <n v="218.68"/>
    <s v="JOAO"/>
    <x v="0"/>
  </r>
  <r>
    <s v="6355"/>
    <d v="2026-05-11T00:00:00"/>
    <s v="KOTUCAY"/>
    <n v="341.61"/>
    <s v="JOAO"/>
    <x v="0"/>
  </r>
  <r>
    <s v="6356"/>
    <d v="2026-05-11T00:00:00"/>
    <s v="IMPERA ESTAMPARIA E CONFECÇÃO"/>
    <n v="542.45000000000005"/>
    <s v="JOAO"/>
    <x v="0"/>
  </r>
  <r>
    <s v="6380"/>
    <d v="2026-05-11T00:00:00"/>
    <s v="ABASTECIMENTO - PVS1D75"/>
    <n v="400"/>
    <s v="MARIO"/>
    <x v="0"/>
  </r>
  <r>
    <s v="6416"/>
    <d v="2026-05-11T00:00:00"/>
    <s v="DEB. PACOTE SERVIÇOS"/>
    <n v="45"/>
    <s v="JOAO"/>
    <x v="0"/>
  </r>
  <r>
    <s v="6417"/>
    <d v="2026-05-11T00:00:00"/>
    <s v="PACOTE DE SERVIÇOS 56 EMPRESARIAL"/>
    <n v="70.48"/>
    <s v="JOAO"/>
    <x v="0"/>
  </r>
  <r>
    <s v="6418"/>
    <d v="2026-05-11T00:00:00"/>
    <s v="TARIFA SERVIÇOS COBRANÇA BOLETO"/>
    <n v="5.54"/>
    <s v="JOAO"/>
    <x v="0"/>
  </r>
  <r>
    <s v="6419"/>
    <d v="2026-05-11T00:00:00"/>
    <s v="IOF BASICO AD PF"/>
    <n v="4.58"/>
    <s v="MARIO"/>
    <x v="0"/>
  </r>
  <r>
    <s v="6420"/>
    <d v="2026-05-11T00:00:00"/>
    <s v="IOF BASICO AD PF"/>
    <n v="0.42"/>
    <s v="MARIO"/>
    <x v="0"/>
  </r>
  <r>
    <s v="6558"/>
    <d v="2026-05-11T00:00:00"/>
    <s v="ABASTECIMENTOS "/>
    <n v="7935.36"/>
    <s v="MARIO"/>
    <x v="0"/>
  </r>
  <r>
    <s v="6357"/>
    <d v="2026-05-12T00:00:00"/>
    <s v="CONTABILIDADE"/>
    <n v="2500"/>
    <s v="JOAO"/>
    <x v="0"/>
  </r>
  <r>
    <s v="6358"/>
    <d v="2026-05-12T00:00:00"/>
    <s v="AGROMAIS - PREGOS"/>
    <n v="53.7"/>
    <s v="MARIO"/>
    <x v="0"/>
  </r>
  <r>
    <s v="6359"/>
    <d v="2026-05-12T00:00:00"/>
    <s v="SEM PARAR - PEDÁGIO"/>
    <n v="600"/>
    <s v="MARIO"/>
    <x v="0"/>
  </r>
  <r>
    <s v="6360"/>
    <d v="2026-05-12T00:00:00"/>
    <s v="COMPRA DE MADEIRA - PIX"/>
    <n v="4277.5"/>
    <s v="MARIO"/>
    <x v="0"/>
  </r>
  <r>
    <s v="6361"/>
    <d v="2026-05-12T00:00:00"/>
    <s v="ABASTECIMENTO -POLO"/>
    <n v="150"/>
    <s v="MARIO"/>
    <x v="0"/>
  </r>
  <r>
    <s v="6362"/>
    <d v="2026-05-12T00:00:00"/>
    <s v="RECARGA CHIP VIVO - PROECO/BOLETOS"/>
    <n v="20"/>
    <s v="MARIO"/>
    <x v="0"/>
  </r>
  <r>
    <s v="6363"/>
    <d v="2026-05-12T00:00:00"/>
    <s v="OTÁVIO ZANGALLE MONTES"/>
    <n v="799.99"/>
    <s v="MARIO"/>
    <x v="0"/>
  </r>
  <r>
    <s v="6364"/>
    <d v="2026-05-12T00:00:00"/>
    <s v="ABASTECIMENTO - CAMINHÃO TOCO"/>
    <n v="480.01"/>
    <s v="MARIO"/>
    <x v="0"/>
  </r>
  <r>
    <s v="6365"/>
    <d v="2026-05-12T00:00:00"/>
    <s v="SEM PARAR - PEDÁGIO"/>
    <n v="600"/>
    <s v="MARIO"/>
    <x v="0"/>
  </r>
  <r>
    <s v="6324"/>
    <d v="2026-05-12T00:00:00"/>
    <s v="JUROS DE DESCONTO DE CHEQUES"/>
    <n v="886.47"/>
    <s v="MARIO"/>
    <x v="0"/>
  </r>
  <r>
    <s v="6366"/>
    <d v="2026-05-12T00:00:00"/>
    <s v="COMPRA DE MADEIRA CH 984"/>
    <n v="7092.5"/>
    <s v="MARIO"/>
    <x v="0"/>
  </r>
  <r>
    <s v="6367"/>
    <d v="2026-05-12T00:00:00"/>
    <s v="FRETE + COMPRA DE MADEIRA CH 847"/>
    <n v="3872.53"/>
    <s v="MARIO"/>
    <x v="0"/>
  </r>
  <r>
    <s v="6368"/>
    <d v="2026-05-12T00:00:00"/>
    <s v="COMPRA DE MADEIRA CH 870"/>
    <n v="3493.88"/>
    <s v="MARIO"/>
    <x v="0"/>
  </r>
  <r>
    <s v="6369"/>
    <d v="2026-05-12T00:00:00"/>
    <s v="COMPRA DE MADEIRA CH 1034"/>
    <n v="4713.8"/>
    <s v="MARIO"/>
    <x v="0"/>
  </r>
  <r>
    <s v="6370"/>
    <d v="2026-05-12T00:00:00"/>
    <s v="RN PNEUS "/>
    <n v="216.67"/>
    <s v="JOAO"/>
    <x v="0"/>
  </r>
  <r>
    <s v="6380"/>
    <d v="2026-05-12T00:00:00"/>
    <s v="ÓLEO DE MOTOR"/>
    <n v="38"/>
    <s v="MARIO"/>
    <x v="0"/>
  </r>
  <r>
    <s v="6421"/>
    <d v="2026-05-12T00:00:00"/>
    <s v="TARIFA SERVIÇOS COBRANÇA BOLETO"/>
    <n v="13.85"/>
    <s v="JOAO"/>
    <x v="0"/>
  </r>
  <r>
    <s v="6422"/>
    <d v="2026-05-12T00:00:00"/>
    <s v="IOF BASICO AD PF"/>
    <n v="7.66"/>
    <s v="MARIO"/>
    <x v="0"/>
  </r>
  <r>
    <s v="6423"/>
    <d v="2026-05-12T00:00:00"/>
    <s v="TARIFA SERVIÇOS COBRANÇA BOLETO"/>
    <n v="8.31"/>
    <s v="MARIO"/>
    <x v="0"/>
  </r>
  <r>
    <s v="6371"/>
    <d v="2026-05-13T00:00:00"/>
    <s v="JUROS DE DESCONTO DE CHEQUES"/>
    <n v="2215.4899999999998"/>
    <s v="MARIO"/>
    <x v="0"/>
  </r>
  <r>
    <s v="6372"/>
    <d v="2026-05-13T00:00:00"/>
    <s v="COMPRA DE MADEIRA CH 938"/>
    <n v="9201.9"/>
    <s v="MARIO"/>
    <x v="0"/>
  </r>
  <r>
    <s v="6373"/>
    <d v="2026-05-13T00:00:00"/>
    <s v="COMPRA DE MADEIRA CH 1029"/>
    <n v="6221"/>
    <s v="MARIO"/>
    <x v="0"/>
  </r>
  <r>
    <s v="6374"/>
    <d v="2026-05-13T00:00:00"/>
    <s v="FRETE + COMPRA DE MADEIRA CH 863"/>
    <n v="10189.08"/>
    <s v="MARIO"/>
    <x v="0"/>
  </r>
  <r>
    <s v="6375"/>
    <d v="2026-05-13T00:00:00"/>
    <s v="FRETE + COMPRA DE MADEIRA CH 1126"/>
    <n v="4500"/>
    <s v="MARIO"/>
    <x v="0"/>
  </r>
  <r>
    <s v="6376"/>
    <d v="2026-05-13T00:00:00"/>
    <s v="FRETE + COMPRA DE MADEIRA CH 956"/>
    <n v="3838.5"/>
    <s v="MARIO"/>
    <x v="0"/>
  </r>
  <r>
    <s v="6377"/>
    <d v="2026-05-13T00:00:00"/>
    <s v="COMPRA DE MADEIRA CH 1047"/>
    <n v="8985"/>
    <s v="MARIO"/>
    <x v="0"/>
  </r>
  <r>
    <s v="6378"/>
    <d v="2026-05-13T00:00:00"/>
    <s v="COMPRA DE MADEIRA CH 1088"/>
    <n v="3602"/>
    <s v="MARIO"/>
    <x v="0"/>
  </r>
  <r>
    <s v="6424"/>
    <d v="2026-05-13T00:00:00"/>
    <s v="JUROS DE DESCONTO DE CHEQUES"/>
    <n v="1069.4100000000001"/>
    <s v="MARIO"/>
    <x v="0"/>
  </r>
  <r>
    <s v="6425"/>
    <d v="2026-05-13T00:00:00"/>
    <s v="ALUGUEL DE ANDAIME"/>
    <n v="359.3"/>
    <s v="MARIO"/>
    <x v="0"/>
  </r>
  <r>
    <s v="6426"/>
    <d v="2026-05-13T00:00:00"/>
    <s v="ABASTECIMENTO - CAMINHÃO TOCO"/>
    <n v="200"/>
    <s v="MARIO"/>
    <x v="0"/>
  </r>
  <r>
    <s v="6427"/>
    <d v="2026-05-13T00:00:00"/>
    <s v="ABASTECIMENTO - MÁQUINAS"/>
    <n v="600"/>
    <s v="MARIO"/>
    <x v="0"/>
  </r>
  <r>
    <s v="6428"/>
    <d v="2026-05-13T00:00:00"/>
    <s v="HAROLDO TORNEIRO"/>
    <n v="50"/>
    <s v="MARIO"/>
    <x v="0"/>
  </r>
  <r>
    <s v="6429"/>
    <d v="2026-05-13T00:00:00"/>
    <s v="ABASTECIMENTO"/>
    <n v="50"/>
    <s v="MARIO"/>
    <x v="0"/>
  </r>
  <r>
    <s v="6430"/>
    <d v="2026-05-13T00:00:00"/>
    <s v="AGROMAIS - PREGOS"/>
    <n v="50"/>
    <s v="MARIO"/>
    <x v="0"/>
  </r>
  <r>
    <s v="6431"/>
    <d v="2026-05-13T00:00:00"/>
    <s v="JUNQMED PLANO ASSISTENCIAL"/>
    <n v="305"/>
    <s v="JOAO"/>
    <x v="0"/>
  </r>
  <r>
    <s v="6432"/>
    <d v="2026-05-13T00:00:00"/>
    <s v="KOPPERS NF1096"/>
    <n v="7404"/>
    <s v="JOAO"/>
    <x v="0"/>
  </r>
  <r>
    <s v="6433"/>
    <d v="2026-05-13T00:00:00"/>
    <s v="TARIFA SERVIÇOS COBRANÇA BOLETO"/>
    <n v="2.77"/>
    <s v="JOAO"/>
    <x v="0"/>
  </r>
  <r>
    <s v="6434"/>
    <d v="2026-05-13T00:00:00"/>
    <s v="IOF BASICO AD PF"/>
    <n v="1.57"/>
    <s v="MARIO"/>
    <x v="0"/>
  </r>
  <r>
    <s v="6435"/>
    <d v="2026-05-13T00:00:00"/>
    <s v="TARIFA SERVIÇOS COBRANÇA BOLETO"/>
    <n v="5.54"/>
    <s v="MARIO"/>
    <x v="0"/>
  </r>
  <r>
    <s v="6507"/>
    <d v="2026-05-13T00:00:00"/>
    <s v="MAIS SOLUÇÕES RURAIS E AMBIENTAIS"/>
    <n v="760"/>
    <s v="MARIO"/>
    <x v="0"/>
  </r>
  <r>
    <s v="6436"/>
    <d v="2026-05-14T00:00:00"/>
    <s v="IOF BASICO AD PF"/>
    <n v="3.64"/>
    <s v="MARIO"/>
    <x v="0"/>
  </r>
  <r>
    <s v="6437"/>
    <d v="2026-05-14T00:00:00"/>
    <s v="SUSTAÇÃO/REVOGAÇÃO DE CHEQUE"/>
    <n v="12"/>
    <s v="MARIO"/>
    <x v="0"/>
  </r>
  <r>
    <s v="6438"/>
    <d v="2026-05-14T00:00:00"/>
    <s v="SANCAR PONTUAL"/>
    <n v="18785.88"/>
    <s v="JOAO"/>
    <x v="0"/>
  </r>
  <r>
    <s v="6440"/>
    <d v="2026-05-14T00:00:00"/>
    <s v="LH PEÇAS E SERVIÇOS"/>
    <n v="320"/>
    <s v="MARIO"/>
    <x v="0"/>
  </r>
  <r>
    <s v="6441"/>
    <d v="2026-05-14T00:00:00"/>
    <s v="REINALDO LUIZ DA S.ANDRADE   DESPACHANTE"/>
    <n v="500"/>
    <s v="MARIO"/>
    <x v="0"/>
  </r>
  <r>
    <s v="6442"/>
    <d v="2026-05-14T00:00:00"/>
    <s v="LH PEÇAS E SERVIÇOS"/>
    <n v="1270"/>
    <s v="MARIO"/>
    <x v="0"/>
  </r>
  <r>
    <s v="6443"/>
    <d v="2026-05-14T00:00:00"/>
    <s v="FRETE DE ENTREGA DE MADEIRAS"/>
    <n v="3000"/>
    <s v="MARIO"/>
    <x v="0"/>
  </r>
  <r>
    <s v="6444"/>
    <d v="2026-05-14T00:00:00"/>
    <s v="ABASTECIMENTO - MÁQUINAS"/>
    <n v="996.01"/>
    <s v="MARIO"/>
    <x v="0"/>
  </r>
  <r>
    <s v="6445"/>
    <d v="2026-05-14T00:00:00"/>
    <s v="ABASTECIMENTO"/>
    <n v="3726.34"/>
    <s v="MARIO"/>
    <x v="0"/>
  </r>
  <r>
    <s v="6446"/>
    <d v="2026-05-14T00:00:00"/>
    <s v="ACERTO - MADEIRAS BARREIRO CH 953"/>
    <n v="6312.2"/>
    <s v="MARIO"/>
    <x v="0"/>
  </r>
  <r>
    <s v="6447"/>
    <d v="2026-05-14T00:00:00"/>
    <s v="FRETE DE COMPRA DE MADEIRA CH 1042"/>
    <n v="3600"/>
    <s v="MARIO"/>
    <x v="0"/>
  </r>
  <r>
    <s v="6448"/>
    <d v="2026-05-14T00:00:00"/>
    <s v="ACERTO - MADEIRAS BARREIRO CH 954"/>
    <n v="6312.2"/>
    <s v="MARIO"/>
    <x v="0"/>
  </r>
  <r>
    <s v="6449"/>
    <d v="2026-05-14T00:00:00"/>
    <s v="COMPRA DE MADEIRA CH 949"/>
    <n v="10595.5"/>
    <s v="MARIO"/>
    <x v="0"/>
  </r>
  <r>
    <s v="6450"/>
    <d v="2026-05-14T00:00:00"/>
    <s v="FRETE DE COMPRA DE MADEIRA CH 1103"/>
    <n v="2650"/>
    <s v="MARIO"/>
    <x v="0"/>
  </r>
  <r>
    <s v="6451"/>
    <d v="2026-05-14T00:00:00"/>
    <s v="AGRO MAIS"/>
    <n v="53"/>
    <s v="MARIO"/>
    <x v="0"/>
  </r>
  <r>
    <s v="6452"/>
    <d v="2026-05-14T00:00:00"/>
    <s v="TARIFA SERVIÇOS COBRANÇA BOLETO"/>
    <n v="5.54"/>
    <s v="JOAO"/>
    <x v="0"/>
  </r>
  <r>
    <s v="6453"/>
    <d v="2026-05-14T00:00:00"/>
    <s v="IOF - EMPRÉSTIMOS - COMPLEMENTAR"/>
    <n v="145.26"/>
    <s v="MARIO"/>
    <x v="0"/>
  </r>
  <r>
    <s v="6454"/>
    <d v="2026-05-14T00:00:00"/>
    <s v="TARIFA SERVIÇOS COBRANÇA BOLETO"/>
    <n v="8.31"/>
    <s v="MARIO"/>
    <x v="0"/>
  </r>
  <r>
    <s v="6508"/>
    <d v="2026-05-14T00:00:00"/>
    <s v="ABASTECIMENTO - CAMINHÃO TOCO"/>
    <n v="586"/>
    <s v="MARIO"/>
    <x v="0"/>
  </r>
  <r>
    <s v="6455"/>
    <d v="2026-05-15T00:00:00"/>
    <s v="SEM PARAR - PEDÁGIO"/>
    <n v="600"/>
    <s v="MARIO"/>
    <x v="0"/>
  </r>
  <r>
    <s v="6456"/>
    <d v="2026-05-15T00:00:00"/>
    <s v="CONFRATERNIZAÇÃO DE FUNCIONÁRIOS"/>
    <n v="157.97999999999999"/>
    <s v="MARIO"/>
    <x v="0"/>
  </r>
  <r>
    <s v="6457"/>
    <d v="2026-05-15T00:00:00"/>
    <s v="CONFRATERNIZAÇÃO DE FUNCIONÁRIOS"/>
    <n v="492"/>
    <s v="MARIO"/>
    <x v="0"/>
  </r>
  <r>
    <s v="6458"/>
    <d v="2026-05-15T00:00:00"/>
    <s v="AUX. ALIMENTAÇÃO "/>
    <n v="150"/>
    <s v="MARIO"/>
    <x v="0"/>
  </r>
  <r>
    <s v="6460"/>
    <d v="2026-05-15T00:00:00"/>
    <s v="AUX. ALIMENTAÇÃO + DIÁRIA"/>
    <n v="320"/>
    <s v="MARIO"/>
    <x v="0"/>
  </r>
  <r>
    <s v="6459"/>
    <d v="2026-05-15T00:00:00"/>
    <s v="AUX. ALIMENTAÇÃO + DIÁRIA"/>
    <n v="320"/>
    <s v="MARIO"/>
    <x v="0"/>
  </r>
  <r>
    <s v="6461"/>
    <d v="2026-05-15T00:00:00"/>
    <s v="ANTÔNIO JOBIM - PEDREIRO"/>
    <n v="640"/>
    <s v="MARIO"/>
    <x v="0"/>
  </r>
  <r>
    <s v="6462"/>
    <d v="2026-05-15T00:00:00"/>
    <s v="ABASTECIMENTO "/>
    <n v="550"/>
    <s v="MARIO"/>
    <x v="0"/>
  </r>
  <r>
    <s v="6463"/>
    <d v="2026-05-15T00:00:00"/>
    <s v="TARIFA PACOTES DE SERVIÇOS"/>
    <n v="8.6"/>
    <s v="JOAO"/>
    <x v="0"/>
  </r>
  <r>
    <s v="6464"/>
    <d v="2026-05-15T00:00:00"/>
    <s v="IOF BASICO AD PF"/>
    <n v="2.33"/>
    <s v="MARIO"/>
    <x v="0"/>
  </r>
  <r>
    <s v="6465"/>
    <d v="2026-05-15T00:00:00"/>
    <s v="CESTA DE RELACIONAMENTO"/>
    <n v="40.299999999999997"/>
    <s v="MARIO"/>
    <x v="0"/>
  </r>
  <r>
    <s v="6466"/>
    <d v="2026-05-15T00:00:00"/>
    <s v="IOF - EMPRÉSTIMOS - COMPLEMENTAR"/>
    <n v="12.76"/>
    <s v="MARIO"/>
    <x v="0"/>
  </r>
  <r>
    <s v="6467"/>
    <d v="2026-05-15T00:00:00"/>
    <s v="TARIFA SERVIÇOS COBRANÇA BOLETO"/>
    <n v="5.54"/>
    <s v="MARIO"/>
    <x v="0"/>
  </r>
  <r>
    <s v="6509"/>
    <d v="2026-05-15T00:00:00"/>
    <s v="ABASTECIMENTO - MÁQUINAS"/>
    <n v="644"/>
    <s v="JOAO"/>
    <x v="0"/>
  </r>
  <r>
    <s v="6468"/>
    <d v="2026-05-18T00:00:00"/>
    <s v="VIVO EMPRESA"/>
    <n v="195.55"/>
    <s v="JOAO"/>
    <x v="0"/>
  </r>
  <r>
    <s v="6469"/>
    <d v="2026-05-18T00:00:00"/>
    <s v="NEW TIME CONTROLE INDUSTRIA E COMERCIO"/>
    <n v="150"/>
    <s v="JOAO"/>
    <x v="0"/>
  </r>
  <r>
    <s v="6470"/>
    <d v="2026-05-18T00:00:00"/>
    <s v="INTERMICRO"/>
    <n v="79.900000000000006"/>
    <s v="JOAO"/>
    <x v="0"/>
  </r>
  <r>
    <s v="6471"/>
    <d v="2026-05-18T00:00:00"/>
    <s v="HC EQUIPAMENTOS"/>
    <n v="455.7"/>
    <s v="JOAO"/>
    <x v="0"/>
  </r>
  <r>
    <s v="6472"/>
    <d v="2026-05-18T00:00:00"/>
    <s v="INTERMICRO"/>
    <n v="164.9"/>
    <s v="JOAO"/>
    <x v="0"/>
  </r>
  <r>
    <s v="6473"/>
    <d v="2026-05-18T00:00:00"/>
    <s v="JOÃO BATISTA DO COUTO - FAZ. OURO PRETO"/>
    <n v="12080.91"/>
    <s v="JOAO"/>
    <x v="0"/>
  </r>
  <r>
    <s v="6474"/>
    <d v="2026-05-18T00:00:00"/>
    <s v="FRANK AUTO TRUCK"/>
    <n v="55.56"/>
    <s v="JOAO"/>
    <x v="0"/>
  </r>
  <r>
    <s v="6475"/>
    <d v="2026-05-18T00:00:00"/>
    <s v="CDL"/>
    <n v="159.44"/>
    <s v="JOAO"/>
    <x v="0"/>
  </r>
  <r>
    <s v="6476"/>
    <d v="2026-05-18T00:00:00"/>
    <s v="RASTREAMENTO VEICULAR"/>
    <n v="77.47"/>
    <s v="MARIO"/>
    <x v="0"/>
  </r>
  <r>
    <s v="6477"/>
    <d v="2026-05-18T00:00:00"/>
    <s v="CONSÓRCIO SICREDI- CAMINHÃO"/>
    <n v="7501.84"/>
    <s v="MARIO"/>
    <x v="0"/>
  </r>
  <r>
    <s v="6478"/>
    <d v="2026-05-18T00:00:00"/>
    <s v="ARXADA NF 59330"/>
    <n v="7016.89"/>
    <s v="MARIO"/>
    <x v="0"/>
  </r>
  <r>
    <s v="6479"/>
    <d v="2026-05-18T00:00:00"/>
    <s v="ARXADA NF 59625"/>
    <n v="7156.03"/>
    <s v="MARIO"/>
    <x v="0"/>
  </r>
  <r>
    <s v="6480"/>
    <d v="2026-05-18T00:00:00"/>
    <s v="EUZÉBIO TRANSPORTES"/>
    <n v="4745"/>
    <s v="MARIO"/>
    <x v="0"/>
  </r>
  <r>
    <s v="6481"/>
    <d v="2026-05-18T00:00:00"/>
    <s v="EUZÉBIO TRANSPORTES"/>
    <n v="5103"/>
    <s v="MARIO"/>
    <x v="0"/>
  </r>
  <r>
    <s v="6482"/>
    <d v="2026-05-18T00:00:00"/>
    <s v="EUZÉBIO TRANSPORTES"/>
    <n v="3976"/>
    <s v="MARIO"/>
    <x v="0"/>
  </r>
  <r>
    <s v="6483"/>
    <d v="2026-05-18T00:00:00"/>
    <s v="FRETE DE COMPRA DE MADEIRA"/>
    <n v="4500"/>
    <s v="MARIO"/>
    <x v="0"/>
  </r>
  <r>
    <s v="6484"/>
    <d v="2026-05-18T00:00:00"/>
    <s v="CONFRATERNIZAÇÃO DE FUNCIONÁRIOS"/>
    <n v="569.99"/>
    <s v="MARIO"/>
    <x v="0"/>
  </r>
  <r>
    <s v="6485"/>
    <d v="2026-05-18T00:00:00"/>
    <s v="GUSTAVO - COMPRA DE PÃES"/>
    <n v="20.170000000000002"/>
    <s v="MARIO"/>
    <x v="0"/>
  </r>
  <r>
    <s v="6486"/>
    <d v="2026-05-18T00:00:00"/>
    <s v="RESSARCIMENTO"/>
    <n v="243.74"/>
    <s v="MARIO"/>
    <x v="0"/>
  </r>
  <r>
    <s v="6487"/>
    <d v="2026-05-18T00:00:00"/>
    <s v="TARIFA SERVIÇOS COBRANÇA BOLETO"/>
    <n v="2.77"/>
    <s v="JOAO"/>
    <x v="0"/>
  </r>
  <r>
    <s v="6488"/>
    <d v="2026-05-18T00:00:00"/>
    <s v="IOF BASICO AD PF"/>
    <n v="0.37"/>
    <s v="MARIO"/>
    <x v="0"/>
  </r>
  <r>
    <s v="6489"/>
    <d v="2026-05-18T00:00:00"/>
    <s v="TARIFA SERVIÇOS COBRANÇA BOLETO"/>
    <n v="11.08"/>
    <s v="MARIO"/>
    <x v="0"/>
  </r>
  <r>
    <s v="6490"/>
    <d v="2026-05-18T00:00:00"/>
    <s v="ALVARÁ - MATRIZ"/>
    <n v="1209.5999999999999"/>
    <s v="MARIO"/>
    <x v="0"/>
  </r>
  <r>
    <s v="6491"/>
    <d v="2026-05-18T00:00:00"/>
    <s v="ALVARÁ - MATRIZ"/>
    <n v="1209.5999999999999"/>
    <s v="MARIO"/>
    <x v="0"/>
  </r>
  <r>
    <s v="6492"/>
    <d v="2026-05-18T00:00:00"/>
    <s v="JUNIOR CASTOLDI COMÉRCIO E SERVIÇOS"/>
    <n v="200"/>
    <s v="MARIO"/>
    <x v="0"/>
  </r>
  <r>
    <s v="6493"/>
    <d v="2026-05-18T00:00:00"/>
    <s v="CLOUDWALK IP LTDA"/>
    <n v="199"/>
    <s v="MARIO"/>
    <x v="0"/>
  </r>
  <r>
    <s v="6494"/>
    <d v="2026-05-18T00:00:00"/>
    <s v="COMPRA DE MADEIRA - PIX"/>
    <n v="5200"/>
    <s v="MARIO"/>
    <x v="0"/>
  </r>
  <r>
    <s v="6495"/>
    <d v="2026-05-18T00:00:00"/>
    <s v="FRETE DE COMPRA DE MADEIRA - PIX"/>
    <n v="5931"/>
    <s v="MARIO"/>
    <x v="0"/>
  </r>
  <r>
    <s v="6496"/>
    <d v="2026-05-18T00:00:00"/>
    <s v="FRETE DE COMPRA DE MADEIRA - PIX"/>
    <n v="4500"/>
    <s v="MARIO"/>
    <x v="0"/>
  </r>
  <r>
    <s v="6497"/>
    <d v="2026-05-18T00:00:00"/>
    <s v="COMPRA DE MADEIRA CH 1038"/>
    <n v="4504.5"/>
    <s v="MARIO"/>
    <x v="0"/>
  </r>
  <r>
    <s v="6498"/>
    <d v="2026-05-18T00:00:00"/>
    <s v="COMPRA DE MADEIRA CH 942"/>
    <n v="9726"/>
    <s v="MARIO"/>
    <x v="0"/>
  </r>
  <r>
    <s v="6499"/>
    <d v="2026-05-18T00:00:00"/>
    <s v="FRETE + COMPRA DE MADEIRA CH 1043"/>
    <n v="3377.4"/>
    <s v="MARIO"/>
    <x v="0"/>
  </r>
  <r>
    <s v="6500"/>
    <d v="2026-05-18T00:00:00"/>
    <s v="COMPRA DE MADEIRA CH 1050"/>
    <n v="5200"/>
    <s v="MARIO"/>
    <x v="0"/>
  </r>
  <r>
    <s v="6501"/>
    <d v="2026-05-18T00:00:00"/>
    <s v="COMPRA DE MADEIRA CH 1055"/>
    <n v="3385"/>
    <s v="MARIO"/>
    <x v="0"/>
  </r>
  <r>
    <s v="6502"/>
    <d v="2026-05-18T00:00:00"/>
    <s v="COMPRA DE MADEIRA CH 1120"/>
    <n v="4277.5"/>
    <s v="MARIO"/>
    <x v="0"/>
  </r>
  <r>
    <s v="6503"/>
    <d v="2026-05-18T00:00:00"/>
    <s v="COMPRA DE MADEIRA CH 1164"/>
    <n v="13834.92"/>
    <s v="MARIO"/>
    <x v="0"/>
  </r>
  <r>
    <s v="6504"/>
    <d v="2026-05-18T00:00:00"/>
    <s v="COMPRA DE MADEIRA CH 977"/>
    <n v="8076.5"/>
    <s v="MARIO"/>
    <x v="0"/>
  </r>
  <r>
    <s v="6510"/>
    <d v="2026-05-18T00:00:00"/>
    <s v="ABASTECIMENTO - BI-TRUCK"/>
    <n v="2202.94"/>
    <s v="JOAO"/>
    <x v="0"/>
  </r>
  <r>
    <s v="6511"/>
    <d v="2026-05-18T00:00:00"/>
    <s v="ABASTECIMENTO - BI-TRUCK"/>
    <n v="2560.62"/>
    <s v="JOAO"/>
    <x v="0"/>
  </r>
  <r>
    <s v="6512"/>
    <d v="2026-05-18T00:00:00"/>
    <s v="ABASTECIMENTO - CAMINHÃO TOCO"/>
    <n v="490.02"/>
    <s v="JOAO"/>
    <x v="0"/>
  </r>
  <r>
    <s v="6513"/>
    <d v="2026-05-18T00:00:00"/>
    <s v="ABASTECIMENTO - MÁQUINAS"/>
    <n v="20"/>
    <s v="JOAO"/>
    <x v="0"/>
  </r>
  <r>
    <s v="6514"/>
    <d v="2026-05-18T00:00:00"/>
    <s v="ADIANTAMENTO DE SALÁRIO"/>
    <n v="14773.83"/>
    <s v="JOAO"/>
    <x v="0"/>
  </r>
  <r>
    <s v="6505"/>
    <d v="2026-05-19T00:00:00"/>
    <s v="JUROS DE DESCONTO DE CHEQUES"/>
    <n v="1883.55"/>
    <s v="MARIO"/>
    <x v="0"/>
  </r>
  <r>
    <s v="6506"/>
    <d v="2026-05-19T00:00:00"/>
    <s v="AGRO MAIS"/>
    <n v="53"/>
    <s v="MARIO"/>
    <x v="0"/>
  </r>
  <r>
    <s v="6515"/>
    <d v="2026-05-19T00:00:00"/>
    <s v="AGRO MAIS"/>
    <n v="130"/>
    <s v="MARIO"/>
    <x v="0"/>
  </r>
  <r>
    <s v="6516"/>
    <d v="2026-05-19T00:00:00"/>
    <s v="ABASTECIMENTO - MÁQUINAS"/>
    <n v="1027.5"/>
    <s v="MARIO"/>
    <x v="0"/>
  </r>
  <r>
    <s v="6517"/>
    <d v="2026-05-19T00:00:00"/>
    <s v="MARIO CESAR DA CONCEIÇÃO"/>
    <n v="400"/>
    <s v="MARIO"/>
    <x v="0"/>
  </r>
  <r>
    <s v="6518"/>
    <d v="2026-05-19T00:00:00"/>
    <s v="SAMUEL JORGE SANTANA DA COSTA"/>
    <n v="3200"/>
    <s v="MARIO"/>
    <x v="0"/>
  </r>
  <r>
    <s v="6519"/>
    <d v="2026-05-19T00:00:00"/>
    <s v="MERCADO - BAZINHO"/>
    <n v="10.98"/>
    <s v="MARIO"/>
    <x v="0"/>
  </r>
  <r>
    <s v="6520"/>
    <d v="2026-05-19T00:00:00"/>
    <s v="FRETE DE COMPRA DE MADEIRA - PIX"/>
    <n v="2650"/>
    <s v="MARIO"/>
    <x v="0"/>
  </r>
  <r>
    <s v="6521"/>
    <d v="2026-05-20T00:00:00"/>
    <s v="SUHAI SEGURADORA S.A."/>
    <n v="701.33"/>
    <s v="MARIO"/>
    <x v="0"/>
  </r>
  <r>
    <s v="6522"/>
    <d v="2026-05-20T00:00:00"/>
    <s v="FRETE DE COMPRA DE MADEIRA CH 1090"/>
    <n v="3600"/>
    <s v="MARIO"/>
    <x v="0"/>
  </r>
  <r>
    <s v="6523"/>
    <d v="2026-05-20T00:00:00"/>
    <s v="FRETE DE COMPRA DE MADEIRA CH 1108"/>
    <n v="5704"/>
    <s v="MARIO"/>
    <x v="0"/>
  </r>
  <r>
    <s v="6524"/>
    <d v="2026-05-20T00:00:00"/>
    <s v="COMPRA DE MADEIRA CH 1118"/>
    <n v="4932"/>
    <s v="MARIO"/>
    <x v="0"/>
  </r>
  <r>
    <s v="6525"/>
    <d v="2026-05-20T00:00:00"/>
    <s v="COMPRA DE MADEIRA CH 900"/>
    <n v="3636"/>
    <s v="MARIO"/>
    <x v="0"/>
  </r>
  <r>
    <s v="6526"/>
    <d v="2026-05-20T00:00:00"/>
    <s v="DEMETRIUS DO BEM BRANDÃO"/>
    <n v="616"/>
    <s v="JOAO"/>
    <x v="0"/>
  </r>
  <r>
    <s v="6527"/>
    <d v="2026-05-20T00:00:00"/>
    <s v="SANCAR PONTUAL"/>
    <n v="1696.96"/>
    <s v="JOAO"/>
    <x v="0"/>
  </r>
  <r>
    <s v="6528"/>
    <d v="2026-05-20T00:00:00"/>
    <s v="KOTUCAY"/>
    <n v="186.24"/>
    <s v="JOAO"/>
    <x v="0"/>
  </r>
  <r>
    <s v="6529"/>
    <d v="2026-05-20T00:00:00"/>
    <s v="RECEITA FEDERAL - DARF-SIMPLES"/>
    <n v="3483.9"/>
    <s v="JOAO"/>
    <x v="0"/>
  </r>
  <r>
    <s v="6530"/>
    <d v="2026-05-20T00:00:00"/>
    <s v="FGTS"/>
    <n v="2652.44"/>
    <s v="JOAO"/>
    <x v="0"/>
  </r>
  <r>
    <s v="6531"/>
    <d v="2026-05-20T00:00:00"/>
    <s v="IMPERA ESTAMPARIA E CONFECÇÃO"/>
    <n v="1380"/>
    <s v="JOAO"/>
    <x v="0"/>
  </r>
  <r>
    <s v="6532"/>
    <d v="2026-05-20T00:00:00"/>
    <s v="GHW CONECTORES"/>
    <n v="1334.92"/>
    <s v="JOAO"/>
    <x v="0"/>
  </r>
  <r>
    <s v="6533"/>
    <d v="2026-05-20T00:00:00"/>
    <s v="ABASTECIMENTO - GÁS DE COZINHA"/>
    <n v="120"/>
    <s v="MARIO"/>
    <x v="0"/>
  </r>
  <r>
    <s v="6534"/>
    <d v="2026-05-20T00:00:00"/>
    <s v="AGRO MAIS - COMPRA DE PREGOS"/>
    <n v="35"/>
    <s v="MARIO"/>
    <x v="0"/>
  </r>
  <r>
    <s v="6535"/>
    <d v="2026-05-21T00:00:00"/>
    <s v="COMPRA DE MADEIRA - PIX"/>
    <n v="2650"/>
    <s v="MARIO"/>
    <x v="0"/>
  </r>
  <r>
    <s v="6536"/>
    <d v="2026-05-21T00:00:00"/>
    <s v="FRETE DE COMPRA DE MADEIRA- PIX"/>
    <n v="4680"/>
    <s v="MARIO"/>
    <x v="0"/>
  </r>
  <r>
    <s v="6537"/>
    <d v="2026-05-21T00:00:00"/>
    <s v="FRETE DE ENTREGA DE MADEIRAS - PIX"/>
    <n v="1000"/>
    <s v="MARIO"/>
    <x v="0"/>
  </r>
  <r>
    <s v="6538"/>
    <d v="2026-05-21T00:00:00"/>
    <s v="SEM PARAR - PEDÁGIO"/>
    <n v="749.65"/>
    <s v="MARIO"/>
    <x v="0"/>
  </r>
  <r>
    <s v="6539"/>
    <d v="2026-05-21T00:00:00"/>
    <s v="COMPRA DE MADEIRA - PIX"/>
    <n v="8440.7000000000007"/>
    <s v="MARIO"/>
    <x v="0"/>
  </r>
  <r>
    <s v="6540"/>
    <d v="2026-05-21T00:00:00"/>
    <s v="JUROS DE DESCONTO DE CHEQUES"/>
    <n v="888.02"/>
    <s v="MARIO"/>
    <x v="0"/>
  </r>
  <r>
    <s v="6541"/>
    <d v="2026-05-21T00:00:00"/>
    <s v="IPVA + TX LICENCIAMENTO"/>
    <n v="2050.9499999999998"/>
    <s v="MARIO"/>
    <x v="0"/>
  </r>
  <r>
    <s v="6542"/>
    <d v="2026-05-21T00:00:00"/>
    <s v="IPVA + TX LICENCIAMENTO"/>
    <n v="2378.2600000000002"/>
    <s v="MARIO"/>
    <x v="0"/>
  </r>
  <r>
    <s v="6543"/>
    <d v="2026-05-21T00:00:00"/>
    <s v="IPVA POLO - SGG8H04"/>
    <n v="248.44"/>
    <s v="MARIO"/>
    <x v="0"/>
  </r>
  <r>
    <s v="6544"/>
    <d v="2026-05-21T00:00:00"/>
    <s v="ENERGISA"/>
    <n v="103.3"/>
    <s v="MARIO"/>
    <x v="0"/>
  </r>
  <r>
    <s v="6545"/>
    <d v="2026-05-21T00:00:00"/>
    <s v="FERROBRAS NF 184150"/>
    <n v="438"/>
    <s v="MARIO"/>
    <x v="0"/>
  </r>
  <r>
    <s v="6546"/>
    <d v="2026-05-21T00:00:00"/>
    <s v="RESSARCIMENTO - CARMEN"/>
    <n v="176.98"/>
    <s v="MARIO"/>
    <x v="0"/>
  </r>
  <r>
    <s v="6547"/>
    <d v="2026-05-21T00:00:00"/>
    <s v="MAYARA APARECIDA DA SILVA CHARRES"/>
    <n v="212"/>
    <s v="MARIO"/>
    <x v="0"/>
  </r>
  <r>
    <s v="6548"/>
    <d v="2026-05-21T00:00:00"/>
    <s v="SIMONE MOREIRA DE CARVALHO VIEIRAS"/>
    <n v="5000"/>
    <s v="MARIO"/>
    <x v="0"/>
  </r>
  <r>
    <s v="6549"/>
    <d v="2026-05-21T00:00:00"/>
    <s v="ABASTECIMENTO - CAMINHÃO TOCO"/>
    <n v="892.58"/>
    <s v="JOAO"/>
    <x v="0"/>
  </r>
  <r>
    <s v="6550"/>
    <d v="2026-05-21T00:00:00"/>
    <s v="ABASTECIMENTO - MÁQUINAS"/>
    <n v="1027.5"/>
    <s v="JOAO"/>
    <x v="0"/>
  </r>
  <r>
    <s v="6551"/>
    <d v="2026-05-21T00:00:00"/>
    <s v="COMPRA DE MADEIRA CH 1065"/>
    <n v="9231"/>
    <s v="MARIO"/>
    <x v="0"/>
  </r>
  <r>
    <s v="6552"/>
    <d v="2026-05-21T00:00:00"/>
    <s v="FRETE DE COMPRA DE MADEIRA CH 1139"/>
    <n v="4500"/>
    <s v="MARIO"/>
    <x v="0"/>
  </r>
  <r>
    <s v="6553"/>
    <d v="2026-05-21T00:00:00"/>
    <s v="COMPRA DE MADEIRA CH 895"/>
    <n v="3502"/>
    <s v="MARIO"/>
    <x v="0"/>
  </r>
  <r>
    <s v="6554"/>
    <d v="2026-05-22T00:00:00"/>
    <s v="BORDERÔ PARA DESCONTO DE CHEQUES"/>
    <n v="204.45"/>
    <s v="MARIO"/>
    <x v="0"/>
  </r>
  <r>
    <s v="6555"/>
    <d v="2026-05-22T00:00:00"/>
    <s v="BORDERÔ PARA DESCONTO DE CHEQUES"/>
    <n v="375.3"/>
    <s v="MARIO"/>
    <x v="0"/>
  </r>
  <r>
    <s v="6559"/>
    <d v="2026-05-22T00:00:00"/>
    <s v="EAGLE TECNOLOGIA DA INFORMAÇÃO"/>
    <n v="510.5"/>
    <s v="MARIO"/>
    <x v="0"/>
  </r>
  <r>
    <s v="6560"/>
    <d v="2026-05-22T00:00:00"/>
    <s v="ANTÔNIO JOBIM - PEDREIRO"/>
    <n v="640.74"/>
    <s v="MARIO"/>
    <x v="0"/>
  </r>
  <r>
    <s v="6561"/>
    <d v="2026-05-22T00:00:00"/>
    <s v="AUX. ALIMENTAÇÃO + DIÁRIA"/>
    <n v="320"/>
    <s v="MARIO"/>
    <x v="0"/>
  </r>
  <r>
    <s v="6562"/>
    <d v="2026-05-22T00:00:00"/>
    <s v="AJUDA DE CUSTO"/>
    <n v="220"/>
    <s v="MARIO"/>
    <x v="0"/>
  </r>
  <r>
    <s v="6563"/>
    <d v="2026-05-22T00:00:00"/>
    <s v="AUX. ALIMENTAÇÃO + DIÁRIA"/>
    <n v="256"/>
    <s v="MARIO"/>
    <x v="0"/>
  </r>
  <r>
    <s v="6564"/>
    <d v="2026-05-22T00:00:00"/>
    <s v="AUX. ALIMENTAÇÃO "/>
    <n v="150"/>
    <s v="MARIO"/>
    <x v="0"/>
  </r>
  <r>
    <s v="6565"/>
    <d v="2026-05-22T00:00:00"/>
    <s v="JAMEL MORAIS CARVALHO REZENDE"/>
    <n v="472.87"/>
    <s v="MARIO"/>
    <x v="0"/>
  </r>
  <r>
    <s v="6566"/>
    <d v="2026-05-22T00:00:00"/>
    <s v="CONSÓRCIO SICREDI- CAMINHÃO "/>
    <n v="20292.88"/>
    <s v="MARIO"/>
    <x v="0"/>
  </r>
  <r>
    <s v="6556"/>
    <d v="2026-05-25T00:00:00"/>
    <s v="JUROS DE DESCONTO DE CHEQUES"/>
    <n v="1223.42"/>
    <s v="MARIO"/>
    <x v="0"/>
  </r>
  <r>
    <s v="6567"/>
    <d v="2026-05-25T00:00:00"/>
    <s v="JAMEL MORAIS CARVALHO REZENDE"/>
    <n v="6676.65"/>
    <s v="JOAO"/>
    <x v="0"/>
  </r>
  <r>
    <s v="6568"/>
    <d v="2026-05-25T00:00:00"/>
    <s v="JOÃO BATISTA DO COUTO - FAZ. OURO PRETO"/>
    <n v="8901.16"/>
    <s v="JOAO"/>
    <x v="0"/>
  </r>
  <r>
    <s v="6569"/>
    <d v="2026-05-25T00:00:00"/>
    <s v="ABASTECIMENTO - BI-TRUCK"/>
    <n v="261.08999999999997"/>
    <s v="MARIO"/>
    <x v="0"/>
  </r>
  <r>
    <s v="6570"/>
    <d v="2026-05-25T00:00:00"/>
    <s v="ABASTECIMENTO - CAMINHÃO TOCO"/>
    <n v="500.03"/>
    <s v="MARIO"/>
    <x v="0"/>
  </r>
  <r>
    <s v="6571"/>
    <d v="2026-05-25T00:00:00"/>
    <s v="ABASTECIMENTO - MÁQUINAS"/>
    <n v="1155.8499999999999"/>
    <s v="MARIO"/>
    <x v="0"/>
  </r>
  <r>
    <s v="6572"/>
    <d v="2026-05-25T00:00:00"/>
    <s v="REMAN AMORTECEDORES MURIAÉ"/>
    <n v="115"/>
    <s v="MARIO"/>
    <x v="0"/>
  </r>
  <r>
    <s v="6573"/>
    <d v="2026-05-25T00:00:00"/>
    <s v="CONSÓRCIO SICREDI                       CAMINHÃO BI-TRUCK"/>
    <n v="3000"/>
    <s v="MARIO"/>
    <x v="0"/>
  </r>
  <r>
    <s v="6574"/>
    <d v="2026-05-25T00:00:00"/>
    <s v="CONSÓRCIO SICREDI                       CAMINHÃO BI-TRUCK"/>
    <n v="2000"/>
    <s v="MARIO"/>
    <x v="0"/>
  </r>
  <r>
    <s v="6575"/>
    <d v="2026-05-25T00:00:00"/>
    <s v="EMPRÉSTIMO - PÁ CARREGADEIRA"/>
    <n v="2000"/>
    <s v="MARIO"/>
    <x v="0"/>
  </r>
  <r>
    <s v="6576"/>
    <d v="2026-05-25T00:00:00"/>
    <s v="FRETE + COMPRA DE MADEIRA CH 736"/>
    <n v="5000"/>
    <s v="MARIO"/>
    <x v="0"/>
  </r>
  <r>
    <s v="6577"/>
    <d v="2026-05-25T00:00:00"/>
    <s v="FRETE DE COMPRA DE MADEIRA CH 1127"/>
    <n v="4500"/>
    <s v="MARIO"/>
    <x v="0"/>
  </r>
  <r>
    <s v="6578"/>
    <d v="2026-05-25T00:00:00"/>
    <s v="COMPRA DE MADEIRA CH 1062"/>
    <n v="4582"/>
    <s v="MARIO"/>
    <x v="0"/>
  </r>
  <r>
    <s v="6579"/>
    <d v="2026-05-25T00:00:00"/>
    <s v="COMPRA DE MADEIRA CH 1061"/>
    <n v="4582"/>
    <s v="MARIO"/>
    <x v="0"/>
  </r>
  <r>
    <s v="6580"/>
    <d v="2026-05-25T00:00:00"/>
    <s v="CALHA DO REFEITÓRIO CH 1081"/>
    <n v="1400"/>
    <s v="MARIO"/>
    <x v="0"/>
  </r>
  <r>
    <s v="6581"/>
    <d v="2026-05-25T00:00:00"/>
    <s v="ABASTECIMENTO"/>
    <n v="50"/>
    <s v="MARIO"/>
    <x v="0"/>
  </r>
  <r>
    <s v="6582"/>
    <d v="2026-05-26T00:00:00"/>
    <s v="JUROS DE DESCONTO DE CHEQUES"/>
    <n v="1110.04"/>
    <s v="MARIO"/>
    <x v="0"/>
  </r>
  <r>
    <s v="6583"/>
    <d v="2026-05-26T00:00:00"/>
    <s v="JUROS DE DESCONTO DE CHEQUES"/>
    <n v="1934.35"/>
    <s v="MARIO"/>
    <x v="0"/>
  </r>
  <r>
    <s v="6584"/>
    <d v="2026-05-26T00:00:00"/>
    <s v="FRETE + COMPRA DE MADEIRA CH 866"/>
    <n v="7431.1"/>
    <s v="MARIO"/>
    <x v="0"/>
  </r>
  <r>
    <s v="6585"/>
    <d v="2026-05-26T00:00:00"/>
    <s v="FRETE + COMPRA DE MADEIRA CH 737"/>
    <n v="5000"/>
    <s v="MARIO"/>
    <x v="0"/>
  </r>
  <r>
    <s v="6586"/>
    <d v="2026-05-26T00:00:00"/>
    <s v="FRETE + COMPRA DE MADEIRA CH 980"/>
    <n v="3689.5"/>
    <s v="MARIO"/>
    <x v="0"/>
  </r>
  <r>
    <s v="6587"/>
    <d v="2026-05-26T00:00:00"/>
    <s v="COMPRA DE MADEIRA CH 989"/>
    <n v="8972.5"/>
    <s v="MARIO"/>
    <x v="0"/>
  </r>
  <r>
    <s v="6588"/>
    <d v="2026-05-26T00:00:00"/>
    <s v="COMPRA DE MADEIRA CH 993"/>
    <n v="8821.85"/>
    <s v="MARIO"/>
    <x v="0"/>
  </r>
  <r>
    <s v="6589"/>
    <d v="2026-05-26T00:00:00"/>
    <s v="FRETE DE COMPRA DE MADEIRA CH 1140"/>
    <n v="2650"/>
    <s v="MARIO"/>
    <x v="0"/>
  </r>
  <r>
    <s v="6590"/>
    <d v="2026-05-26T00:00:00"/>
    <s v="COMPRA DE MADEIRA CH 1137"/>
    <n v="5200"/>
    <s v="MARIO"/>
    <x v="0"/>
  </r>
  <r>
    <s v="6591"/>
    <d v="2026-05-26T00:00:00"/>
    <s v="COMPRA DE MADEIRA CH 1145"/>
    <n v="4680"/>
    <s v="MARIO"/>
    <x v="0"/>
  </r>
  <r>
    <s v="6592"/>
    <d v="2026-05-26T00:00:00"/>
    <s v="COMPRA DE MADEIRA CH 902"/>
    <n v="5217"/>
    <s v="MARIO"/>
    <x v="0"/>
  </r>
  <r>
    <s v="6593"/>
    <d v="2026-05-26T00:00:00"/>
    <s v="FRETE + COMPRA DE MADEIRA CH 906"/>
    <n v="10584"/>
    <s v="MARIO"/>
    <x v="0"/>
  </r>
  <r>
    <s v="6594"/>
    <d v="2026-05-26T00:00:00"/>
    <s v="COMPRA DE MADEIRA CH 1039"/>
    <n v="4504.5"/>
    <s v="MARIO"/>
    <x v="0"/>
  </r>
  <r>
    <s v="6595"/>
    <d v="2026-05-26T00:00:00"/>
    <s v="ABASTECIMENTO - CAMINHÃO TOCO"/>
    <n v="515"/>
    <s v="MARIO"/>
    <x v="0"/>
  </r>
  <r>
    <s v="6596"/>
    <d v="2026-05-26T00:00:00"/>
    <s v="ABASTECIMENTO - IVECO"/>
    <n v="314.23"/>
    <s v="MARIO"/>
    <x v="0"/>
  </r>
  <r>
    <s v="6597"/>
    <d v="2026-05-26T00:00:00"/>
    <s v="FRANK AUTO TRUCK"/>
    <n v="30.69"/>
    <s v="JOAO"/>
    <x v="0"/>
  </r>
  <r>
    <s v="6598"/>
    <d v="2026-05-26T00:00:00"/>
    <s v="EAGLE TECNOLOGIA DA INFORMAÇÃO"/>
    <n v="1000"/>
    <s v="JOAO"/>
    <x v="0"/>
  </r>
  <r>
    <s v="6599"/>
    <d v="2026-05-27T00:00:00"/>
    <s v="JUROS DE DESCONTO DE CHEQUES"/>
    <n v="1294.17"/>
    <s v="MARIO"/>
    <x v="0"/>
  </r>
  <r>
    <s v="6600"/>
    <d v="2026-05-27T00:00:00"/>
    <s v="SEM PARAR - PEDÁGIO"/>
    <n v="600"/>
    <s v="MARIO"/>
    <x v="0"/>
  </r>
  <r>
    <s v="6601"/>
    <d v="2026-05-27T00:00:00"/>
    <s v="SEM PARAR - PEDÁGIO"/>
    <n v="153.54"/>
    <s v="MARIO"/>
    <x v="0"/>
  </r>
  <r>
    <s v="6602"/>
    <d v="2026-05-27T00:00:00"/>
    <s v="COMISSÃO - HENRIQUE"/>
    <n v="5288.79"/>
    <s v="MARIO"/>
    <x v="0"/>
  </r>
  <r>
    <s v="6603"/>
    <d v="2026-05-27T00:00:00"/>
    <s v="COMISSÃO - J.GERALDO"/>
    <n v="18187.98"/>
    <s v="MARIO"/>
    <x v="0"/>
  </r>
  <r>
    <s v="6604"/>
    <d v="2026-05-27T00:00:00"/>
    <s v="GHW CONECTORES"/>
    <n v="500"/>
    <s v="JOAO"/>
    <x v="0"/>
  </r>
  <r>
    <m/>
    <d v="2026-05-27T00:00:00"/>
    <s v="COMPRA DE MADEIRA CH 971"/>
    <n v="5784"/>
    <s v="MARIO"/>
    <x v="0"/>
  </r>
  <r>
    <m/>
    <d v="2026-05-27T00:00:00"/>
    <s v="FRETE + COMPRA DE MADEIRA CH 738"/>
    <n v="5000"/>
    <s v="MARIO"/>
    <x v="0"/>
  </r>
  <r>
    <m/>
    <d v="2026-05-27T00:00:00"/>
    <s v="COMPRA DE MADEIRA CH 1071"/>
    <n v="3500"/>
    <s v="MARIO"/>
    <x v="0"/>
  </r>
  <r>
    <m/>
    <d v="2026-05-27T00:00:00"/>
    <s v="FRETE + COMPRA DE MADEIRA CH 1084"/>
    <n v="4686"/>
    <s v="MARIO"/>
    <x v="0"/>
  </r>
  <r>
    <m/>
    <d v="2026-05-28T00:00:00"/>
    <s v="JUROS DE DESCONTO DE CHEQUES"/>
    <n v="1115.73"/>
    <s v="MARIO"/>
    <x v="0"/>
  </r>
  <r>
    <m/>
    <d v="2026-05-07T00:00:00"/>
    <s v="FOLHA DE PAGAMENTO"/>
    <n v="1125"/>
    <s v="MARIO"/>
    <x v="1"/>
  </r>
  <r>
    <m/>
    <d v="2026-05-12T00:00:00"/>
    <s v="DEPÓSITO P/ CÉSAR"/>
    <n v="3000"/>
    <s v="MARIO"/>
    <x v="1"/>
  </r>
  <r>
    <m/>
    <d v="2026-05-14T00:00:00"/>
    <s v="IPTU LOJA - GALPÃO 1393"/>
    <n v="316.83"/>
    <s v="CARTAO"/>
    <x v="1"/>
  </r>
  <r>
    <m/>
    <d v="2026-05-14T00:00:00"/>
    <s v="ULTRA FIBER INTERNET"/>
    <n v="71.72"/>
    <s v="CARTAO"/>
    <x v="1"/>
  </r>
  <r>
    <m/>
    <d v="2026-05-14T00:00:00"/>
    <s v="DEMSUR"/>
    <n v="98.57"/>
    <s v="CARTAO"/>
    <x v="1"/>
  </r>
  <r>
    <m/>
    <d v="2026-05-18T00:00:00"/>
    <s v="ENERGISA MINAS RIO"/>
    <n v="106.64"/>
    <s v="CARTAO"/>
    <x v="1"/>
  </r>
  <r>
    <m/>
    <d v="2026-05-18T00:00:00"/>
    <s v="ALVARÁ - FILIAL"/>
    <n v="1571.09"/>
    <s v="CARTAO"/>
    <x v="1"/>
  </r>
  <r>
    <m/>
    <d v="2026-05-18T00:00:00"/>
    <s v="ALVARÁ - FILIAL"/>
    <n v="1571.09"/>
    <s v="MARIO"/>
    <x v="1"/>
  </r>
  <r>
    <m/>
    <d v="2026-05-18T00:00:00"/>
    <s v="ADIANTAMENTO DE SALÁRIO"/>
    <n v="800"/>
    <s v="CARTAO"/>
    <x v="1"/>
  </r>
  <r>
    <m/>
    <d v="2026-05-20T00:00:00"/>
    <s v="EAGLE TECNOLOGIA DA INFORMAÇÃO"/>
    <n v="255.08"/>
    <s v="JOAO"/>
    <x v="1"/>
  </r>
  <r>
    <m/>
    <d v="2026-05-14T00:00:00"/>
    <s v="TIM S A"/>
    <n v="29.96"/>
    <s v="JOAO"/>
    <x v="1"/>
  </r>
  <r>
    <m/>
    <d v="2026-05-25T00:00:00"/>
    <s v="TRANSFERÊNCIA DA FILIAL P/MATRIZ"/>
    <n v="200"/>
    <s v="CARTA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x v="0"/>
    <x v="0"/>
    <n v="50"/>
    <x v="0"/>
  </r>
  <r>
    <x v="1"/>
    <x v="0"/>
    <n v="560"/>
    <x v="0"/>
  </r>
  <r>
    <x v="1"/>
    <x v="1"/>
    <n v="95"/>
    <x v="1"/>
  </r>
  <r>
    <x v="1"/>
    <x v="2"/>
    <n v="348.2"/>
    <x v="1"/>
  </r>
  <r>
    <x v="1"/>
    <x v="3"/>
    <n v="454.72"/>
    <x v="1"/>
  </r>
  <r>
    <x v="1"/>
    <x v="4"/>
    <n v="824"/>
    <x v="1"/>
  </r>
  <r>
    <x v="1"/>
    <x v="4"/>
    <n v="824"/>
    <x v="1"/>
  </r>
  <r>
    <x v="1"/>
    <x v="5"/>
    <n v="10"/>
    <x v="1"/>
  </r>
  <r>
    <x v="1"/>
    <x v="5"/>
    <n v="81.400000000000006"/>
    <x v="1"/>
  </r>
  <r>
    <x v="1"/>
    <x v="5"/>
    <n v="11.08"/>
    <x v="1"/>
  </r>
  <r>
    <x v="1"/>
    <x v="5"/>
    <n v="69.709999999999994"/>
    <x v="0"/>
  </r>
  <r>
    <x v="1"/>
    <x v="6"/>
    <n v="111.07"/>
    <x v="0"/>
  </r>
  <r>
    <x v="1"/>
    <x v="5"/>
    <n v="0.75"/>
    <x v="0"/>
  </r>
  <r>
    <x v="1"/>
    <x v="5"/>
    <n v="0.75"/>
    <x v="0"/>
  </r>
  <r>
    <x v="1"/>
    <x v="5"/>
    <n v="642.94000000000005"/>
    <x v="0"/>
  </r>
  <r>
    <x v="1"/>
    <x v="5"/>
    <n v="5.54"/>
    <x v="0"/>
  </r>
  <r>
    <x v="2"/>
    <x v="0"/>
    <n v="150"/>
    <x v="0"/>
  </r>
  <r>
    <x v="2"/>
    <x v="0"/>
    <n v="130"/>
    <x v="0"/>
  </r>
  <r>
    <x v="2"/>
    <x v="7"/>
    <n v="760.33"/>
    <x v="0"/>
  </r>
  <r>
    <x v="2"/>
    <x v="6"/>
    <n v="1592.75"/>
    <x v="0"/>
  </r>
  <r>
    <x v="2"/>
    <x v="0"/>
    <n v="1011"/>
    <x v="1"/>
  </r>
  <r>
    <x v="2"/>
    <x v="0"/>
    <n v="430.08"/>
    <x v="1"/>
  </r>
  <r>
    <x v="2"/>
    <x v="0"/>
    <n v="50"/>
    <x v="0"/>
  </r>
  <r>
    <x v="2"/>
    <x v="0"/>
    <n v="284.64999999999998"/>
    <x v="0"/>
  </r>
  <r>
    <x v="2"/>
    <x v="6"/>
    <n v="99.27"/>
    <x v="1"/>
  </r>
  <r>
    <x v="2"/>
    <x v="5"/>
    <n v="61.01"/>
    <x v="1"/>
  </r>
  <r>
    <x v="2"/>
    <x v="5"/>
    <n v="5.54"/>
    <x v="1"/>
  </r>
  <r>
    <x v="2"/>
    <x v="5"/>
    <n v="5.54"/>
    <x v="1"/>
  </r>
  <r>
    <x v="2"/>
    <x v="5"/>
    <n v="0.75"/>
    <x v="0"/>
  </r>
  <r>
    <x v="2"/>
    <x v="5"/>
    <n v="139.83000000000001"/>
    <x v="0"/>
  </r>
  <r>
    <x v="2"/>
    <x v="6"/>
    <n v="81.08"/>
    <x v="0"/>
  </r>
  <r>
    <x v="2"/>
    <x v="6"/>
    <n v="228.72"/>
    <x v="0"/>
  </r>
  <r>
    <x v="2"/>
    <x v="5"/>
    <n v="16.62"/>
    <x v="0"/>
  </r>
  <r>
    <x v="3"/>
    <x v="6"/>
    <n v="977.08"/>
    <x v="0"/>
  </r>
  <r>
    <x v="3"/>
    <x v="0"/>
    <n v="600"/>
    <x v="1"/>
  </r>
  <r>
    <x v="3"/>
    <x v="0"/>
    <n v="1142.9000000000001"/>
    <x v="0"/>
  </r>
  <r>
    <x v="3"/>
    <x v="0"/>
    <n v="320"/>
    <x v="0"/>
  </r>
  <r>
    <x v="3"/>
    <x v="5"/>
    <n v="40"/>
    <x v="1"/>
  </r>
  <r>
    <x v="3"/>
    <x v="5"/>
    <n v="8.31"/>
    <x v="1"/>
  </r>
  <r>
    <x v="3"/>
    <x v="5"/>
    <n v="3.23"/>
    <x v="0"/>
  </r>
  <r>
    <x v="3"/>
    <x v="5"/>
    <n v="180.22"/>
    <x v="0"/>
  </r>
  <r>
    <x v="3"/>
    <x v="5"/>
    <n v="2.77"/>
    <x v="0"/>
  </r>
  <r>
    <x v="4"/>
    <x v="5"/>
    <n v="0.96"/>
    <x v="0"/>
  </r>
  <r>
    <x v="4"/>
    <x v="6"/>
    <n v="855.42"/>
    <x v="0"/>
  </r>
  <r>
    <x v="4"/>
    <x v="8"/>
    <n v="4500"/>
    <x v="0"/>
  </r>
  <r>
    <x v="4"/>
    <x v="8"/>
    <n v="3600"/>
    <x v="0"/>
  </r>
  <r>
    <x v="4"/>
    <x v="8"/>
    <n v="2650"/>
    <x v="0"/>
  </r>
  <r>
    <x v="4"/>
    <x v="8"/>
    <n v="2650"/>
    <x v="0"/>
  </r>
  <r>
    <x v="4"/>
    <x v="8"/>
    <n v="6916.3"/>
    <x v="0"/>
  </r>
  <r>
    <x v="4"/>
    <x v="8"/>
    <n v="2650"/>
    <x v="0"/>
  </r>
  <r>
    <x v="4"/>
    <x v="0"/>
    <n v="693.01"/>
    <x v="1"/>
  </r>
  <r>
    <x v="4"/>
    <x v="5"/>
    <n v="2.77"/>
    <x v="1"/>
  </r>
  <r>
    <x v="4"/>
    <x v="5"/>
    <n v="2.77"/>
    <x v="0"/>
  </r>
  <r>
    <x v="5"/>
    <x v="7"/>
    <n v="758.06"/>
    <x v="0"/>
  </r>
  <r>
    <x v="5"/>
    <x v="6"/>
    <n v="2558.66"/>
    <x v="0"/>
  </r>
  <r>
    <x v="5"/>
    <x v="0"/>
    <n v="150"/>
    <x v="0"/>
  </r>
  <r>
    <x v="5"/>
    <x v="9"/>
    <n v="320"/>
    <x v="0"/>
  </r>
  <r>
    <x v="5"/>
    <x v="9"/>
    <n v="320"/>
    <x v="0"/>
  </r>
  <r>
    <x v="5"/>
    <x v="9"/>
    <n v="150"/>
    <x v="0"/>
  </r>
  <r>
    <x v="5"/>
    <x v="7"/>
    <n v="519.16999999999996"/>
    <x v="0"/>
  </r>
  <r>
    <x v="5"/>
    <x v="8"/>
    <n v="4680"/>
    <x v="0"/>
  </r>
  <r>
    <x v="5"/>
    <x v="8"/>
    <n v="5200"/>
    <x v="0"/>
  </r>
  <r>
    <x v="5"/>
    <x v="0"/>
    <n v="5314.33"/>
    <x v="1"/>
  </r>
  <r>
    <x v="5"/>
    <x v="0"/>
    <n v="253.81"/>
    <x v="1"/>
  </r>
  <r>
    <x v="5"/>
    <x v="0"/>
    <n v="1011"/>
    <x v="1"/>
  </r>
  <r>
    <x v="5"/>
    <x v="5"/>
    <n v="5.54"/>
    <x v="1"/>
  </r>
  <r>
    <x v="5"/>
    <x v="5"/>
    <n v="2.77"/>
    <x v="1"/>
  </r>
  <r>
    <x v="5"/>
    <x v="5"/>
    <n v="1.5"/>
    <x v="0"/>
  </r>
  <r>
    <x v="5"/>
    <x v="5"/>
    <n v="57.42"/>
    <x v="0"/>
  </r>
  <r>
    <x v="5"/>
    <x v="5"/>
    <n v="56.69"/>
    <x v="0"/>
  </r>
  <r>
    <x v="5"/>
    <x v="5"/>
    <n v="18.07"/>
    <x v="0"/>
  </r>
  <r>
    <x v="6"/>
    <x v="0"/>
    <n v="100"/>
    <x v="0"/>
  </r>
  <r>
    <x v="7"/>
    <x v="8"/>
    <n v="4215.83"/>
    <x v="0"/>
  </r>
  <r>
    <x v="7"/>
    <x v="8"/>
    <n v="6777.75"/>
    <x v="0"/>
  </r>
  <r>
    <x v="7"/>
    <x v="8"/>
    <n v="3600"/>
    <x v="0"/>
  </r>
  <r>
    <x v="7"/>
    <x v="6"/>
    <n v="1476.41"/>
    <x v="0"/>
  </r>
  <r>
    <x v="7"/>
    <x v="10"/>
    <n v="9229"/>
    <x v="0"/>
  </r>
  <r>
    <x v="7"/>
    <x v="8"/>
    <n v="4650"/>
    <x v="0"/>
  </r>
  <r>
    <x v="7"/>
    <x v="0"/>
    <n v="996"/>
    <x v="0"/>
  </r>
  <r>
    <x v="7"/>
    <x v="3"/>
    <n v="348.46"/>
    <x v="1"/>
  </r>
  <r>
    <x v="7"/>
    <x v="2"/>
    <n v="348.2"/>
    <x v="1"/>
  </r>
  <r>
    <x v="7"/>
    <x v="2"/>
    <n v="218.68"/>
    <x v="1"/>
  </r>
  <r>
    <x v="7"/>
    <x v="0"/>
    <n v="400"/>
    <x v="0"/>
  </r>
  <r>
    <x v="7"/>
    <x v="5"/>
    <n v="5.54"/>
    <x v="1"/>
  </r>
  <r>
    <x v="7"/>
    <x v="5"/>
    <n v="4.58"/>
    <x v="0"/>
  </r>
  <r>
    <x v="7"/>
    <x v="5"/>
    <n v="0.42"/>
    <x v="0"/>
  </r>
  <r>
    <x v="7"/>
    <x v="0"/>
    <n v="7935.36"/>
    <x v="0"/>
  </r>
  <r>
    <x v="8"/>
    <x v="7"/>
    <n v="600"/>
    <x v="0"/>
  </r>
  <r>
    <x v="8"/>
    <x v="0"/>
    <n v="150"/>
    <x v="0"/>
  </r>
  <r>
    <x v="8"/>
    <x v="0"/>
    <n v="480.01"/>
    <x v="0"/>
  </r>
  <r>
    <x v="8"/>
    <x v="7"/>
    <n v="600"/>
    <x v="0"/>
  </r>
  <r>
    <x v="8"/>
    <x v="6"/>
    <n v="886.47"/>
    <x v="0"/>
  </r>
  <r>
    <x v="8"/>
    <x v="8"/>
    <n v="3872.53"/>
    <x v="0"/>
  </r>
  <r>
    <x v="8"/>
    <x v="5"/>
    <n v="13.85"/>
    <x v="1"/>
  </r>
  <r>
    <x v="8"/>
    <x v="5"/>
    <n v="7.66"/>
    <x v="0"/>
  </r>
  <r>
    <x v="8"/>
    <x v="5"/>
    <n v="8.31"/>
    <x v="0"/>
  </r>
  <r>
    <x v="9"/>
    <x v="6"/>
    <n v="2215.4899999999998"/>
    <x v="0"/>
  </r>
  <r>
    <x v="9"/>
    <x v="8"/>
    <n v="10189.08"/>
    <x v="0"/>
  </r>
  <r>
    <x v="9"/>
    <x v="8"/>
    <n v="4500"/>
    <x v="0"/>
  </r>
  <r>
    <x v="9"/>
    <x v="8"/>
    <n v="3838.5"/>
    <x v="0"/>
  </r>
  <r>
    <x v="9"/>
    <x v="6"/>
    <n v="1069.4100000000001"/>
    <x v="0"/>
  </r>
  <r>
    <x v="9"/>
    <x v="0"/>
    <n v="200"/>
    <x v="0"/>
  </r>
  <r>
    <x v="9"/>
    <x v="0"/>
    <n v="600"/>
    <x v="0"/>
  </r>
  <r>
    <x v="9"/>
    <x v="0"/>
    <n v="50"/>
    <x v="0"/>
  </r>
  <r>
    <x v="9"/>
    <x v="5"/>
    <n v="2.77"/>
    <x v="1"/>
  </r>
  <r>
    <x v="9"/>
    <x v="5"/>
    <n v="1.57"/>
    <x v="0"/>
  </r>
  <r>
    <x v="9"/>
    <x v="5"/>
    <n v="5.54"/>
    <x v="0"/>
  </r>
  <r>
    <x v="10"/>
    <x v="5"/>
    <n v="3.64"/>
    <x v="0"/>
  </r>
  <r>
    <x v="10"/>
    <x v="8"/>
    <n v="3000"/>
    <x v="0"/>
  </r>
  <r>
    <x v="10"/>
    <x v="0"/>
    <n v="996.01"/>
    <x v="0"/>
  </r>
  <r>
    <x v="10"/>
    <x v="0"/>
    <n v="3726.34"/>
    <x v="0"/>
  </r>
  <r>
    <x v="10"/>
    <x v="8"/>
    <n v="3600"/>
    <x v="0"/>
  </r>
  <r>
    <x v="10"/>
    <x v="8"/>
    <n v="2650"/>
    <x v="0"/>
  </r>
  <r>
    <x v="10"/>
    <x v="5"/>
    <n v="5.54"/>
    <x v="1"/>
  </r>
  <r>
    <x v="10"/>
    <x v="5"/>
    <n v="145.26"/>
    <x v="0"/>
  </r>
  <r>
    <x v="10"/>
    <x v="5"/>
    <n v="8.31"/>
    <x v="0"/>
  </r>
  <r>
    <x v="10"/>
    <x v="0"/>
    <n v="586"/>
    <x v="0"/>
  </r>
  <r>
    <x v="11"/>
    <x v="7"/>
    <n v="600"/>
    <x v="0"/>
  </r>
  <r>
    <x v="11"/>
    <x v="9"/>
    <n v="150"/>
    <x v="0"/>
  </r>
  <r>
    <x v="11"/>
    <x v="9"/>
    <n v="320"/>
    <x v="0"/>
  </r>
  <r>
    <x v="11"/>
    <x v="9"/>
    <n v="320"/>
    <x v="0"/>
  </r>
  <r>
    <x v="11"/>
    <x v="7"/>
    <n v="640"/>
    <x v="0"/>
  </r>
  <r>
    <x v="11"/>
    <x v="0"/>
    <n v="550"/>
    <x v="0"/>
  </r>
  <r>
    <x v="11"/>
    <x v="5"/>
    <n v="8.6"/>
    <x v="1"/>
  </r>
  <r>
    <x v="11"/>
    <x v="5"/>
    <n v="2.33"/>
    <x v="0"/>
  </r>
  <r>
    <x v="11"/>
    <x v="5"/>
    <n v="12.76"/>
    <x v="0"/>
  </r>
  <r>
    <x v="11"/>
    <x v="5"/>
    <n v="5.54"/>
    <x v="0"/>
  </r>
  <r>
    <x v="11"/>
    <x v="0"/>
    <n v="644"/>
    <x v="1"/>
  </r>
  <r>
    <x v="12"/>
    <x v="1"/>
    <n v="55.56"/>
    <x v="1"/>
  </r>
  <r>
    <x v="12"/>
    <x v="11"/>
    <n v="77.47"/>
    <x v="0"/>
  </r>
  <r>
    <x v="12"/>
    <x v="8"/>
    <n v="4500"/>
    <x v="0"/>
  </r>
  <r>
    <x v="12"/>
    <x v="5"/>
    <n v="2.77"/>
    <x v="1"/>
  </r>
  <r>
    <x v="12"/>
    <x v="5"/>
    <n v="0.37"/>
    <x v="0"/>
  </r>
  <r>
    <x v="12"/>
    <x v="5"/>
    <n v="11.08"/>
    <x v="0"/>
  </r>
  <r>
    <x v="12"/>
    <x v="8"/>
    <n v="5931"/>
    <x v="0"/>
  </r>
  <r>
    <x v="12"/>
    <x v="8"/>
    <n v="4500"/>
    <x v="0"/>
  </r>
  <r>
    <x v="12"/>
    <x v="8"/>
    <n v="3377.4"/>
    <x v="0"/>
  </r>
  <r>
    <x v="12"/>
    <x v="0"/>
    <n v="2202.94"/>
    <x v="1"/>
  </r>
  <r>
    <x v="12"/>
    <x v="0"/>
    <n v="2560.62"/>
    <x v="1"/>
  </r>
  <r>
    <x v="12"/>
    <x v="0"/>
    <n v="490.02"/>
    <x v="1"/>
  </r>
  <r>
    <x v="12"/>
    <x v="0"/>
    <n v="20"/>
    <x v="1"/>
  </r>
  <r>
    <x v="13"/>
    <x v="6"/>
    <n v="1883.55"/>
    <x v="0"/>
  </r>
  <r>
    <x v="13"/>
    <x v="0"/>
    <n v="1027.5"/>
    <x v="0"/>
  </r>
  <r>
    <x v="13"/>
    <x v="8"/>
    <n v="2650"/>
    <x v="0"/>
  </r>
  <r>
    <x v="14"/>
    <x v="8"/>
    <n v="3600"/>
    <x v="0"/>
  </r>
  <r>
    <x v="14"/>
    <x v="8"/>
    <n v="5704"/>
    <x v="0"/>
  </r>
  <r>
    <x v="14"/>
    <x v="0"/>
    <n v="120"/>
    <x v="0"/>
  </r>
  <r>
    <x v="15"/>
    <x v="8"/>
    <n v="4680"/>
    <x v="0"/>
  </r>
  <r>
    <x v="15"/>
    <x v="8"/>
    <n v="1000"/>
    <x v="0"/>
  </r>
  <r>
    <x v="15"/>
    <x v="7"/>
    <n v="749.65"/>
    <x v="0"/>
  </r>
  <r>
    <x v="15"/>
    <x v="6"/>
    <n v="888.02"/>
    <x v="0"/>
  </r>
  <r>
    <x v="15"/>
    <x v="0"/>
    <n v="892.58"/>
    <x v="1"/>
  </r>
  <r>
    <x v="15"/>
    <x v="0"/>
    <n v="1027.5"/>
    <x v="1"/>
  </r>
  <r>
    <x v="15"/>
    <x v="8"/>
    <n v="4500"/>
    <x v="0"/>
  </r>
  <r>
    <x v="16"/>
    <x v="7"/>
    <n v="640.74"/>
    <x v="0"/>
  </r>
  <r>
    <x v="16"/>
    <x v="9"/>
    <n v="320"/>
    <x v="0"/>
  </r>
  <r>
    <x v="16"/>
    <x v="12"/>
    <n v="220"/>
    <x v="0"/>
  </r>
  <r>
    <x v="16"/>
    <x v="9"/>
    <n v="256"/>
    <x v="0"/>
  </r>
  <r>
    <x v="16"/>
    <x v="9"/>
    <n v="150"/>
    <x v="0"/>
  </r>
  <r>
    <x v="16"/>
    <x v="3"/>
    <n v="472.87"/>
    <x v="0"/>
  </r>
  <r>
    <x v="17"/>
    <x v="6"/>
    <n v="1223.42"/>
    <x v="0"/>
  </r>
  <r>
    <x v="17"/>
    <x v="3"/>
    <n v="6676.65"/>
    <x v="1"/>
  </r>
  <r>
    <x v="17"/>
    <x v="0"/>
    <n v="261.08999999999997"/>
    <x v="0"/>
  </r>
  <r>
    <x v="17"/>
    <x v="0"/>
    <n v="500.03"/>
    <x v="0"/>
  </r>
  <r>
    <x v="17"/>
    <x v="0"/>
    <n v="1155.8499999999999"/>
    <x v="0"/>
  </r>
  <r>
    <x v="17"/>
    <x v="8"/>
    <n v="5000"/>
    <x v="0"/>
  </r>
  <r>
    <x v="17"/>
    <x v="8"/>
    <n v="4500"/>
    <x v="0"/>
  </r>
  <r>
    <x v="17"/>
    <x v="0"/>
    <n v="50"/>
    <x v="0"/>
  </r>
  <r>
    <x v="18"/>
    <x v="6"/>
    <n v="1110.04"/>
    <x v="0"/>
  </r>
  <r>
    <x v="18"/>
    <x v="6"/>
    <n v="1934.35"/>
    <x v="0"/>
  </r>
  <r>
    <x v="18"/>
    <x v="8"/>
    <n v="7431.1"/>
    <x v="0"/>
  </r>
  <r>
    <x v="18"/>
    <x v="8"/>
    <n v="5000"/>
    <x v="0"/>
  </r>
  <r>
    <x v="18"/>
    <x v="8"/>
    <n v="3689.5"/>
    <x v="0"/>
  </r>
  <r>
    <x v="18"/>
    <x v="8"/>
    <n v="2650"/>
    <x v="0"/>
  </r>
  <r>
    <x v="18"/>
    <x v="8"/>
    <n v="10584"/>
    <x v="0"/>
  </r>
  <r>
    <x v="18"/>
    <x v="0"/>
    <n v="515"/>
    <x v="0"/>
  </r>
  <r>
    <x v="18"/>
    <x v="0"/>
    <n v="314.23"/>
    <x v="0"/>
  </r>
  <r>
    <x v="18"/>
    <x v="1"/>
    <n v="30.69"/>
    <x v="1"/>
  </r>
  <r>
    <x v="19"/>
    <x v="6"/>
    <n v="1294.17"/>
    <x v="0"/>
  </r>
  <r>
    <x v="19"/>
    <x v="7"/>
    <n v="600"/>
    <x v="0"/>
  </r>
  <r>
    <x v="19"/>
    <x v="7"/>
    <n v="153.54"/>
    <x v="0"/>
  </r>
  <r>
    <x v="19"/>
    <x v="8"/>
    <n v="5000"/>
    <x v="0"/>
  </r>
  <r>
    <x v="19"/>
    <x v="8"/>
    <n v="4686"/>
    <x v="0"/>
  </r>
  <r>
    <x v="20"/>
    <x v="6"/>
    <n v="1115.7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77239-48C9-4BF3-A15B-85C350774B62}" name="Tabela dinâmica3" cacheId="2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7">
  <location ref="A3:B6" firstHeaderRow="1" firstDataRow="1" firstDataCol="1"/>
  <pivotFields count="4"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225">
        <item m="1" x="207"/>
        <item m="1" x="222"/>
        <item m="1" x="217"/>
        <item m="1" x="208"/>
        <item m="1" x="216"/>
        <item m="1" x="214"/>
        <item m="1" x="223"/>
        <item m="1" x="215"/>
        <item m="1" x="213"/>
        <item m="1" x="212"/>
        <item m="1" x="219"/>
        <item x="0"/>
        <item m="1" x="221"/>
        <item m="1" x="220"/>
        <item m="1" x="31"/>
        <item m="1" x="32"/>
        <item m="1" x="129"/>
        <item m="1" x="60"/>
        <item m="1" x="34"/>
        <item m="1" x="73"/>
        <item m="1" x="130"/>
        <item m="1" x="23"/>
        <item x="12"/>
        <item m="1" x="21"/>
        <item m="1" x="155"/>
        <item m="1" x="49"/>
        <item m="1" x="153"/>
        <item m="1" x="137"/>
        <item m="1" x="44"/>
        <item m="1" x="45"/>
        <item m="1" x="136"/>
        <item m="1" x="190"/>
        <item m="1" x="152"/>
        <item m="1" x="151"/>
        <item x="9"/>
        <item m="1" x="218"/>
        <item m="1" x="211"/>
        <item m="1" x="83"/>
        <item m="1" x="91"/>
        <item m="1" x="115"/>
        <item m="1" x="116"/>
        <item m="1" x="117"/>
        <item m="1" x="42"/>
        <item m="1" x="36"/>
        <item m="1" x="51"/>
        <item m="1" x="98"/>
        <item m="1" x="99"/>
        <item m="1" x="132"/>
        <item m="1" x="52"/>
        <item m="1" x="133"/>
        <item m="1" x="158"/>
        <item m="1" x="164"/>
        <item m="1" x="18"/>
        <item m="1" x="167"/>
        <item m="1" x="14"/>
        <item m="1" x="53"/>
        <item m="1" x="97"/>
        <item m="1" x="19"/>
        <item m="1" x="55"/>
        <item m="1" x="56"/>
        <item m="1" x="90"/>
        <item m="1" x="89"/>
        <item m="1" x="81"/>
        <item m="1" x="101"/>
        <item m="1" x="20"/>
        <item m="1" x="145"/>
        <item m="1" x="65"/>
        <item m="1" x="57"/>
        <item m="1" x="94"/>
        <item m="1" x="168"/>
        <item m="1" x="95"/>
        <item m="1" x="58"/>
        <item x="10"/>
        <item m="1" x="162"/>
        <item m="1" x="13"/>
        <item m="1" x="82"/>
        <item m="1" x="66"/>
        <item m="1" x="96"/>
        <item m="1" x="159"/>
        <item m="1" x="160"/>
        <item m="1" x="17"/>
        <item m="1" x="54"/>
        <item m="1" x="118"/>
        <item m="1" x="33"/>
        <item m="1" x="100"/>
        <item m="1" x="59"/>
        <item m="1" x="182"/>
        <item m="1" x="157"/>
        <item m="1" x="92"/>
        <item m="1" x="93"/>
        <item m="1" x="119"/>
        <item m="1" x="166"/>
        <item x="2"/>
        <item m="1" x="154"/>
        <item x="3"/>
        <item m="1" x="147"/>
        <item m="1" x="35"/>
        <item m="1" x="124"/>
        <item m="1" x="87"/>
        <item m="1" x="43"/>
        <item m="1" x="85"/>
        <item m="1" x="179"/>
        <item m="1" x="177"/>
        <item m="1" x="67"/>
        <item m="1" x="170"/>
        <item m="1" x="84"/>
        <item m="1" x="88"/>
        <item m="1" x="76"/>
        <item m="1" x="46"/>
        <item m="1" x="172"/>
        <item m="1" x="140"/>
        <item m="1" x="77"/>
        <item m="1" x="70"/>
        <item m="1" x="150"/>
        <item m="1" x="210"/>
        <item m="1" x="134"/>
        <item m="1" x="192"/>
        <item m="1" x="144"/>
        <item m="1" x="206"/>
        <item m="1" x="185"/>
        <item m="1" x="198"/>
        <item m="1" x="201"/>
        <item m="1" x="205"/>
        <item m="1" x="120"/>
        <item m="1" x="122"/>
        <item m="1" x="143"/>
        <item m="1" x="161"/>
        <item m="1" x="183"/>
        <item m="1" x="163"/>
        <item m="1" x="184"/>
        <item m="1" x="200"/>
        <item m="1" x="204"/>
        <item m="1" x="121"/>
        <item m="1" x="135"/>
        <item m="1" x="123"/>
        <item m="1" x="186"/>
        <item m="1" x="202"/>
        <item m="1" x="191"/>
        <item x="8"/>
        <item m="1" x="165"/>
        <item m="1" x="114"/>
        <item m="1" x="188"/>
        <item m="1" x="169"/>
        <item m="1" x="193"/>
        <item m="1" x="189"/>
        <item m="1" x="194"/>
        <item m="1" x="199"/>
        <item m="1" x="197"/>
        <item m="1" x="203"/>
        <item m="1" x="195"/>
        <item m="1" x="187"/>
        <item m="1" x="196"/>
        <item m="1" x="138"/>
        <item m="1" x="72"/>
        <item m="1" x="171"/>
        <item m="1" x="47"/>
        <item m="1" x="22"/>
        <item m="1" x="40"/>
        <item m="1" x="71"/>
        <item m="1" x="39"/>
        <item m="1" x="142"/>
        <item m="1" x="110"/>
        <item m="1" x="108"/>
        <item m="1" x="126"/>
        <item m="1" x="74"/>
        <item m="1" x="75"/>
        <item m="1" x="102"/>
        <item m="1" x="41"/>
        <item m="1" x="50"/>
        <item m="1" x="24"/>
        <item m="1" x="109"/>
        <item m="1" x="125"/>
        <item x="6"/>
        <item m="1" x="128"/>
        <item m="1" x="149"/>
        <item m="1" x="148"/>
        <item m="1" x="146"/>
        <item m="1" x="25"/>
        <item m="1" x="68"/>
        <item m="1" x="103"/>
        <item m="1" x="29"/>
        <item m="1" x="26"/>
        <item x="1"/>
        <item m="1" x="139"/>
        <item m="1" x="61"/>
        <item m="1" x="79"/>
        <item m="1" x="63"/>
        <item m="1" x="112"/>
        <item m="1" x="38"/>
        <item m="1" x="16"/>
        <item m="1" x="181"/>
        <item m="1" x="178"/>
        <item m="1" x="127"/>
        <item x="7"/>
        <item m="1" x="104"/>
        <item m="1" x="156"/>
        <item x="11"/>
        <item m="1" x="180"/>
        <item m="1" x="69"/>
        <item m="1" x="30"/>
        <item m="1" x="86"/>
        <item m="1" x="48"/>
        <item m="1" x="78"/>
        <item m="1" x="15"/>
        <item m="1" x="173"/>
        <item m="1" x="62"/>
        <item m="1" x="28"/>
        <item m="1" x="131"/>
        <item m="1" x="111"/>
        <item m="1" x="113"/>
        <item x="4"/>
        <item m="1" x="80"/>
        <item m="1" x="64"/>
        <item m="1" x="27"/>
        <item m="1" x="141"/>
        <item m="1" x="106"/>
        <item m="1" x="107"/>
        <item m="1" x="105"/>
        <item x="5"/>
        <item m="1" x="174"/>
        <item m="1" x="176"/>
        <item m="1" x="209"/>
        <item m="1" x="37"/>
        <item m="1" x="175"/>
        <item t="default"/>
      </items>
    </pivotField>
    <pivotField dataField="1" numFmtId="44" showAll="0"/>
    <pivotField axis="axisRow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GASTOS POR PAGADOR" fld="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F0CA7-1A9A-4D54-84F8-395139EBEF38}" name="Tabela dinâmica4" cacheId="2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3">
  <location ref="A3:B17" firstHeaderRow="1" firstDataRow="1" firstDataCol="1"/>
  <pivotFields count="4"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225">
        <item m="1" x="207"/>
        <item m="1" x="222"/>
        <item m="1" x="217"/>
        <item m="1" x="208"/>
        <item m="1" x="216"/>
        <item m="1" x="214"/>
        <item m="1" x="223"/>
        <item m="1" x="215"/>
        <item m="1" x="213"/>
        <item m="1" x="212"/>
        <item m="1" x="219"/>
        <item m="1" x="221"/>
        <item m="1" x="220"/>
        <item m="1" x="31"/>
        <item m="1" x="32"/>
        <item m="1" x="129"/>
        <item m="1" x="60"/>
        <item m="1" x="34"/>
        <item m="1" x="73"/>
        <item m="1" x="130"/>
        <item m="1" x="23"/>
        <item x="12"/>
        <item m="1" x="21"/>
        <item m="1" x="155"/>
        <item m="1" x="49"/>
        <item m="1" x="153"/>
        <item m="1" x="137"/>
        <item m="1" x="44"/>
        <item m="1" x="45"/>
        <item m="1" x="136"/>
        <item m="1" x="190"/>
        <item m="1" x="152"/>
        <item m="1" x="151"/>
        <item m="1" x="218"/>
        <item m="1" x="211"/>
        <item m="1" x="83"/>
        <item m="1" x="91"/>
        <item m="1" x="115"/>
        <item m="1" x="116"/>
        <item m="1" x="117"/>
        <item m="1" x="42"/>
        <item m="1" x="36"/>
        <item m="1" x="51"/>
        <item m="1" x="98"/>
        <item m="1" x="99"/>
        <item m="1" x="132"/>
        <item m="1" x="52"/>
        <item m="1" x="133"/>
        <item m="1" x="158"/>
        <item m="1" x="164"/>
        <item m="1" x="18"/>
        <item m="1" x="167"/>
        <item m="1" x="14"/>
        <item m="1" x="53"/>
        <item m="1" x="97"/>
        <item m="1" x="19"/>
        <item m="1" x="55"/>
        <item m="1" x="56"/>
        <item m="1" x="90"/>
        <item m="1" x="89"/>
        <item m="1" x="81"/>
        <item m="1" x="101"/>
        <item m="1" x="20"/>
        <item m="1" x="145"/>
        <item m="1" x="65"/>
        <item m="1" x="57"/>
        <item m="1" x="94"/>
        <item m="1" x="168"/>
        <item m="1" x="95"/>
        <item m="1" x="58"/>
        <item x="10"/>
        <item m="1" x="162"/>
        <item m="1" x="13"/>
        <item m="1" x="82"/>
        <item m="1" x="66"/>
        <item m="1" x="96"/>
        <item m="1" x="159"/>
        <item m="1" x="160"/>
        <item m="1" x="17"/>
        <item m="1" x="54"/>
        <item m="1" x="118"/>
        <item m="1" x="33"/>
        <item m="1" x="100"/>
        <item m="1" x="59"/>
        <item m="1" x="182"/>
        <item m="1" x="157"/>
        <item m="1" x="92"/>
        <item m="1" x="93"/>
        <item m="1" x="119"/>
        <item m="1" x="166"/>
        <item m="1" x="154"/>
        <item m="1" x="147"/>
        <item m="1" x="35"/>
        <item m="1" x="124"/>
        <item m="1" x="87"/>
        <item m="1" x="43"/>
        <item m="1" x="85"/>
        <item m="1" x="179"/>
        <item m="1" x="177"/>
        <item m="1" x="67"/>
        <item m="1" x="170"/>
        <item m="1" x="84"/>
        <item m="1" x="88"/>
        <item m="1" x="76"/>
        <item m="1" x="46"/>
        <item m="1" x="172"/>
        <item m="1" x="140"/>
        <item m="1" x="77"/>
        <item m="1" x="70"/>
        <item m="1" x="150"/>
        <item m="1" x="210"/>
        <item m="1" x="134"/>
        <item m="1" x="192"/>
        <item m="1" x="144"/>
        <item m="1" x="206"/>
        <item m="1" x="185"/>
        <item m="1" x="198"/>
        <item m="1" x="201"/>
        <item m="1" x="205"/>
        <item m="1" x="120"/>
        <item m="1" x="122"/>
        <item m="1" x="143"/>
        <item m="1" x="161"/>
        <item m="1" x="183"/>
        <item m="1" x="163"/>
        <item m="1" x="184"/>
        <item m="1" x="200"/>
        <item m="1" x="204"/>
        <item m="1" x="121"/>
        <item m="1" x="135"/>
        <item m="1" x="123"/>
        <item m="1" x="186"/>
        <item m="1" x="202"/>
        <item m="1" x="191"/>
        <item m="1" x="165"/>
        <item m="1" x="114"/>
        <item m="1" x="188"/>
        <item m="1" x="169"/>
        <item m="1" x="193"/>
        <item m="1" x="189"/>
        <item m="1" x="194"/>
        <item m="1" x="199"/>
        <item m="1" x="197"/>
        <item m="1" x="203"/>
        <item m="1" x="195"/>
        <item m="1" x="187"/>
        <item m="1" x="196"/>
        <item m="1" x="138"/>
        <item m="1" x="72"/>
        <item m="1" x="171"/>
        <item m="1" x="47"/>
        <item m="1" x="22"/>
        <item m="1" x="40"/>
        <item m="1" x="71"/>
        <item m="1" x="39"/>
        <item m="1" x="142"/>
        <item m="1" x="110"/>
        <item m="1" x="108"/>
        <item m="1" x="126"/>
        <item m="1" x="74"/>
        <item m="1" x="75"/>
        <item m="1" x="102"/>
        <item m="1" x="41"/>
        <item m="1" x="50"/>
        <item m="1" x="24"/>
        <item m="1" x="109"/>
        <item m="1" x="125"/>
        <item x="6"/>
        <item m="1" x="128"/>
        <item m="1" x="149"/>
        <item m="1" x="148"/>
        <item m="1" x="146"/>
        <item m="1" x="25"/>
        <item m="1" x="68"/>
        <item m="1" x="103"/>
        <item m="1" x="29"/>
        <item m="1" x="26"/>
        <item m="1" x="139"/>
        <item m="1" x="61"/>
        <item m="1" x="79"/>
        <item m="1" x="63"/>
        <item m="1" x="112"/>
        <item m="1" x="38"/>
        <item m="1" x="16"/>
        <item m="1" x="181"/>
        <item m="1" x="178"/>
        <item m="1" x="127"/>
        <item m="1" x="104"/>
        <item m="1" x="156"/>
        <item x="11"/>
        <item m="1" x="180"/>
        <item m="1" x="69"/>
        <item m="1" x="30"/>
        <item m="1" x="86"/>
        <item m="1" x="48"/>
        <item m="1" x="78"/>
        <item m="1" x="15"/>
        <item m="1" x="173"/>
        <item m="1" x="62"/>
        <item m="1" x="28"/>
        <item m="1" x="131"/>
        <item m="1" x="111"/>
        <item m="1" x="113"/>
        <item m="1" x="80"/>
        <item m="1" x="64"/>
        <item m="1" x="27"/>
        <item m="1" x="141"/>
        <item m="1" x="106"/>
        <item m="1" x="107"/>
        <item m="1" x="105"/>
        <item m="1" x="174"/>
        <item m="1" x="176"/>
        <item m="1" x="209"/>
        <item m="1" x="37"/>
        <item m="1" x="175"/>
        <item x="0"/>
        <item x="1"/>
        <item x="2"/>
        <item x="3"/>
        <item x="4"/>
        <item x="5"/>
        <item x="7"/>
        <item x="8"/>
        <item x="9"/>
        <item t="default"/>
      </items>
    </pivotField>
    <pivotField dataField="1" numFmtId="44" showAll="0"/>
    <pivotField showAll="0">
      <items count="3">
        <item x="1"/>
        <item x="0"/>
        <item t="default"/>
      </items>
    </pivotField>
  </pivotFields>
  <rowFields count="1">
    <field x="1"/>
  </rowFields>
  <rowItems count="14">
    <i>
      <x v="21"/>
    </i>
    <i>
      <x v="70"/>
    </i>
    <i>
      <x v="167"/>
    </i>
    <i>
      <x v="189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Items count="1">
    <i/>
  </colItems>
  <dataFields count="1">
    <dataField name="GASTOS POR FORNECEDOR" fld="2" baseField="0" baseItem="0" numFmtId="44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3CCDC-1A21-4349-B832-64B46F4917A5}" name="Tabela dinâmica5" cacheId="2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 rowHeaderCaption="Data">
  <location ref="A3:B25" firstHeaderRow="1" firstDataRow="1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20"/>
        <item x="7"/>
        <item x="8"/>
        <item x="18"/>
        <item x="19"/>
        <item t="default"/>
      </items>
    </pivotField>
    <pivotField showAll="0">
      <items count="225">
        <item m="1" x="207"/>
        <item m="1" x="222"/>
        <item m="1" x="217"/>
        <item m="1" x="208"/>
        <item m="1" x="216"/>
        <item m="1" x="214"/>
        <item m="1" x="223"/>
        <item m="1" x="215"/>
        <item m="1" x="213"/>
        <item m="1" x="212"/>
        <item m="1" x="219"/>
        <item x="0"/>
        <item m="1" x="221"/>
        <item m="1" x="220"/>
        <item m="1" x="31"/>
        <item m="1" x="32"/>
        <item m="1" x="129"/>
        <item m="1" x="60"/>
        <item m="1" x="34"/>
        <item m="1" x="73"/>
        <item m="1" x="130"/>
        <item m="1" x="23"/>
        <item x="12"/>
        <item m="1" x="21"/>
        <item m="1" x="155"/>
        <item m="1" x="49"/>
        <item m="1" x="153"/>
        <item m="1" x="137"/>
        <item m="1" x="44"/>
        <item m="1" x="45"/>
        <item m="1" x="136"/>
        <item m="1" x="190"/>
        <item m="1" x="152"/>
        <item m="1" x="151"/>
        <item x="9"/>
        <item m="1" x="218"/>
        <item m="1" x="211"/>
        <item m="1" x="83"/>
        <item m="1" x="91"/>
        <item m="1" x="115"/>
        <item m="1" x="116"/>
        <item m="1" x="117"/>
        <item m="1" x="42"/>
        <item m="1" x="36"/>
        <item m="1" x="51"/>
        <item m="1" x="98"/>
        <item m="1" x="99"/>
        <item m="1" x="132"/>
        <item m="1" x="52"/>
        <item m="1" x="133"/>
        <item m="1" x="158"/>
        <item m="1" x="164"/>
        <item m="1" x="18"/>
        <item m="1" x="167"/>
        <item m="1" x="14"/>
        <item m="1" x="53"/>
        <item m="1" x="97"/>
        <item m="1" x="19"/>
        <item m="1" x="55"/>
        <item m="1" x="56"/>
        <item m="1" x="90"/>
        <item m="1" x="89"/>
        <item m="1" x="81"/>
        <item m="1" x="101"/>
        <item m="1" x="20"/>
        <item m="1" x="145"/>
        <item m="1" x="65"/>
        <item m="1" x="57"/>
        <item m="1" x="94"/>
        <item m="1" x="168"/>
        <item m="1" x="95"/>
        <item m="1" x="58"/>
        <item x="10"/>
        <item m="1" x="162"/>
        <item m="1" x="13"/>
        <item m="1" x="82"/>
        <item m="1" x="66"/>
        <item m="1" x="96"/>
        <item m="1" x="159"/>
        <item m="1" x="160"/>
        <item m="1" x="17"/>
        <item m="1" x="54"/>
        <item m="1" x="118"/>
        <item m="1" x="33"/>
        <item m="1" x="100"/>
        <item m="1" x="59"/>
        <item m="1" x="182"/>
        <item m="1" x="157"/>
        <item m="1" x="92"/>
        <item m="1" x="93"/>
        <item m="1" x="119"/>
        <item m="1" x="166"/>
        <item x="2"/>
        <item m="1" x="154"/>
        <item x="3"/>
        <item m="1" x="147"/>
        <item m="1" x="35"/>
        <item m="1" x="124"/>
        <item m="1" x="87"/>
        <item m="1" x="43"/>
        <item m="1" x="85"/>
        <item m="1" x="179"/>
        <item m="1" x="177"/>
        <item m="1" x="67"/>
        <item m="1" x="170"/>
        <item m="1" x="84"/>
        <item m="1" x="88"/>
        <item m="1" x="76"/>
        <item m="1" x="46"/>
        <item m="1" x="172"/>
        <item m="1" x="140"/>
        <item m="1" x="77"/>
        <item m="1" x="70"/>
        <item m="1" x="150"/>
        <item m="1" x="210"/>
        <item m="1" x="134"/>
        <item m="1" x="192"/>
        <item m="1" x="144"/>
        <item m="1" x="206"/>
        <item m="1" x="185"/>
        <item m="1" x="198"/>
        <item m="1" x="201"/>
        <item m="1" x="205"/>
        <item m="1" x="120"/>
        <item m="1" x="122"/>
        <item m="1" x="143"/>
        <item m="1" x="161"/>
        <item m="1" x="183"/>
        <item m="1" x="163"/>
        <item m="1" x="184"/>
        <item m="1" x="200"/>
        <item m="1" x="204"/>
        <item m="1" x="121"/>
        <item m="1" x="135"/>
        <item m="1" x="123"/>
        <item m="1" x="186"/>
        <item m="1" x="202"/>
        <item m="1" x="191"/>
        <item x="8"/>
        <item m="1" x="165"/>
        <item m="1" x="114"/>
        <item m="1" x="188"/>
        <item m="1" x="169"/>
        <item m="1" x="193"/>
        <item m="1" x="189"/>
        <item m="1" x="194"/>
        <item m="1" x="199"/>
        <item m="1" x="197"/>
        <item m="1" x="203"/>
        <item m="1" x="195"/>
        <item m="1" x="187"/>
        <item m="1" x="196"/>
        <item m="1" x="138"/>
        <item m="1" x="72"/>
        <item m="1" x="171"/>
        <item m="1" x="47"/>
        <item m="1" x="22"/>
        <item m="1" x="40"/>
        <item m="1" x="71"/>
        <item m="1" x="39"/>
        <item m="1" x="142"/>
        <item m="1" x="110"/>
        <item m="1" x="108"/>
        <item m="1" x="126"/>
        <item m="1" x="74"/>
        <item m="1" x="75"/>
        <item m="1" x="102"/>
        <item m="1" x="41"/>
        <item m="1" x="50"/>
        <item m="1" x="24"/>
        <item m="1" x="109"/>
        <item m="1" x="125"/>
        <item x="6"/>
        <item m="1" x="128"/>
        <item m="1" x="149"/>
        <item m="1" x="148"/>
        <item m="1" x="146"/>
        <item m="1" x="25"/>
        <item m="1" x="68"/>
        <item m="1" x="103"/>
        <item m="1" x="29"/>
        <item m="1" x="26"/>
        <item x="1"/>
        <item m="1" x="139"/>
        <item m="1" x="61"/>
        <item m="1" x="79"/>
        <item m="1" x="63"/>
        <item m="1" x="112"/>
        <item m="1" x="38"/>
        <item m="1" x="16"/>
        <item m="1" x="181"/>
        <item m="1" x="178"/>
        <item m="1" x="127"/>
        <item x="7"/>
        <item m="1" x="104"/>
        <item m="1" x="156"/>
        <item x="11"/>
        <item m="1" x="180"/>
        <item m="1" x="69"/>
        <item m="1" x="30"/>
        <item m="1" x="86"/>
        <item m="1" x="48"/>
        <item m="1" x="78"/>
        <item m="1" x="15"/>
        <item m="1" x="173"/>
        <item m="1" x="62"/>
        <item m="1" x="28"/>
        <item m="1" x="131"/>
        <item m="1" x="111"/>
        <item m="1" x="113"/>
        <item x="4"/>
        <item m="1" x="80"/>
        <item m="1" x="64"/>
        <item m="1" x="27"/>
        <item m="1" x="141"/>
        <item m="1" x="106"/>
        <item m="1" x="107"/>
        <item m="1" x="105"/>
        <item x="5"/>
        <item m="1" x="174"/>
        <item m="1" x="176"/>
        <item m="1" x="209"/>
        <item m="1" x="37"/>
        <item m="1" x="175"/>
        <item t="default"/>
      </items>
    </pivotField>
    <pivotField dataField="1" numFmtId="44" showAll="0"/>
    <pivotField showAll="0">
      <items count="3">
        <item x="1"/>
        <item x="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EVOLUÇÃO DOS GASTOS" fld="2" baseField="0" baseItem="0" numFmtId="44"/>
  </dataFields>
  <formats count="3"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8C5C8-8E1C-4BBC-8E38-67E9E428E649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6">
    <pivotField showAll="0"/>
    <pivotField numFmtId="14" showAll="0"/>
    <pivotField showAll="0"/>
    <pivotField dataField="1" numFmtId="44" showAll="0"/>
    <pivotField showAll="0"/>
    <pivotField axis="axisRow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DESPESAS" fld="3" baseField="0" baseItem="0" numFmtId="44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DA4A3492-C159-4F90-8C8F-308BC199C785}" sourceName="DATA">
  <pivotTables>
    <pivotTable tabId="7" name="Tabela dinâmica4"/>
  </pivotTables>
  <data>
    <tabular pivotCacheId="1230992998">
      <items count="2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NECEDOR1" xr10:uid="{26A79200-D19B-4610-9B07-E12AACD1478D}" sourceName="FORNECEDOR">
  <pivotTables>
    <pivotTable tabId="8" name="Tabela dinâmica5"/>
    <pivotTable tabId="6" name="Tabela dinâmica3"/>
    <pivotTable tabId="7" name="Tabela dinâmica4"/>
  </pivotTables>
  <data>
    <tabular pivotCacheId="1230992998">
      <items count="224">
        <i x="0" s="1"/>
        <i x="12" s="1"/>
        <i x="9" s="1"/>
        <i x="10" s="1"/>
        <i x="2" s="1"/>
        <i x="3" s="1"/>
        <i x="8" s="1"/>
        <i x="6" s="1"/>
        <i x="1" s="1"/>
        <i x="7" s="1"/>
        <i x="11" s="1"/>
        <i x="4" s="1"/>
        <i x="5" s="1"/>
        <i x="207" s="1" nd="1"/>
        <i x="222" s="1" nd="1"/>
        <i x="217" s="1" nd="1"/>
        <i x="208" s="1" nd="1"/>
        <i x="216" s="1" nd="1"/>
        <i x="214" s="1" nd="1"/>
        <i x="223" s="1" nd="1"/>
        <i x="215" s="1" nd="1"/>
        <i x="213" s="1" nd="1"/>
        <i x="212" s="1" nd="1"/>
        <i x="219" s="1" nd="1"/>
        <i x="221" s="1" nd="1"/>
        <i x="220" s="1" nd="1"/>
        <i x="31" s="1" nd="1"/>
        <i x="32" s="1" nd="1"/>
        <i x="129" s="1" nd="1"/>
        <i x="60" s="1" nd="1"/>
        <i x="34" s="1" nd="1"/>
        <i x="73" s="1" nd="1"/>
        <i x="130" s="1" nd="1"/>
        <i x="23" s="1" nd="1"/>
        <i x="21" s="1" nd="1"/>
        <i x="155" s="1" nd="1"/>
        <i x="49" s="1" nd="1"/>
        <i x="153" s="1" nd="1"/>
        <i x="137" s="1" nd="1"/>
        <i x="44" s="1" nd="1"/>
        <i x="45" s="1" nd="1"/>
        <i x="136" s="1" nd="1"/>
        <i x="190" s="1" nd="1"/>
        <i x="152" s="1" nd="1"/>
        <i x="151" s="1" nd="1"/>
        <i x="218" s="1" nd="1"/>
        <i x="211" s="1" nd="1"/>
        <i x="83" s="1" nd="1"/>
        <i x="91" s="1" nd="1"/>
        <i x="115" s="1" nd="1"/>
        <i x="116" s="1" nd="1"/>
        <i x="117" s="1" nd="1"/>
        <i x="42" s="1" nd="1"/>
        <i x="36" s="1" nd="1"/>
        <i x="51" s="1" nd="1"/>
        <i x="98" s="1" nd="1"/>
        <i x="99" s="1" nd="1"/>
        <i x="132" s="1" nd="1"/>
        <i x="52" s="1" nd="1"/>
        <i x="133" s="1" nd="1"/>
        <i x="158" s="1" nd="1"/>
        <i x="164" s="1" nd="1"/>
        <i x="18" s="1" nd="1"/>
        <i x="167" s="1" nd="1"/>
        <i x="14" s="1" nd="1"/>
        <i x="53" s="1" nd="1"/>
        <i x="97" s="1" nd="1"/>
        <i x="19" s="1" nd="1"/>
        <i x="55" s="1" nd="1"/>
        <i x="56" s="1" nd="1"/>
        <i x="90" s="1" nd="1"/>
        <i x="89" s="1" nd="1"/>
        <i x="81" s="1" nd="1"/>
        <i x="101" s="1" nd="1"/>
        <i x="20" s="1" nd="1"/>
        <i x="145" s="1" nd="1"/>
        <i x="65" s="1" nd="1"/>
        <i x="57" s="1" nd="1"/>
        <i x="94" s="1" nd="1"/>
        <i x="168" s="1" nd="1"/>
        <i x="95" s="1" nd="1"/>
        <i x="58" s="1" nd="1"/>
        <i x="162" s="1" nd="1"/>
        <i x="13" s="1" nd="1"/>
        <i x="82" s="1" nd="1"/>
        <i x="66" s="1" nd="1"/>
        <i x="96" s="1" nd="1"/>
        <i x="159" s="1" nd="1"/>
        <i x="160" s="1" nd="1"/>
        <i x="17" s="1" nd="1"/>
        <i x="54" s="1" nd="1"/>
        <i x="118" s="1" nd="1"/>
        <i x="33" s="1" nd="1"/>
        <i x="100" s="1" nd="1"/>
        <i x="59" s="1" nd="1"/>
        <i x="182" s="1" nd="1"/>
        <i x="157" s="1" nd="1"/>
        <i x="92" s="1" nd="1"/>
        <i x="93" s="1" nd="1"/>
        <i x="119" s="1" nd="1"/>
        <i x="166" s="1" nd="1"/>
        <i x="154" s="1" nd="1"/>
        <i x="147" s="1" nd="1"/>
        <i x="35" s="1" nd="1"/>
        <i x="124" s="1" nd="1"/>
        <i x="87" s="1" nd="1"/>
        <i x="43" s="1" nd="1"/>
        <i x="85" s="1" nd="1"/>
        <i x="179" s="1" nd="1"/>
        <i x="177" s="1" nd="1"/>
        <i x="67" s="1" nd="1"/>
        <i x="170" s="1" nd="1"/>
        <i x="84" s="1" nd="1"/>
        <i x="88" s="1" nd="1"/>
        <i x="76" s="1" nd="1"/>
        <i x="46" s="1" nd="1"/>
        <i x="172" s="1" nd="1"/>
        <i x="140" s="1" nd="1"/>
        <i x="77" s="1" nd="1"/>
        <i x="70" s="1" nd="1"/>
        <i x="150" s="1" nd="1"/>
        <i x="210" s="1" nd="1"/>
        <i x="134" s="1" nd="1"/>
        <i x="192" s="1" nd="1"/>
        <i x="144" s="1" nd="1"/>
        <i x="206" s="1" nd="1"/>
        <i x="185" s="1" nd="1"/>
        <i x="198" s="1" nd="1"/>
        <i x="201" s="1" nd="1"/>
        <i x="205" s="1" nd="1"/>
        <i x="120" s="1" nd="1"/>
        <i x="122" s="1" nd="1"/>
        <i x="143" s="1" nd="1"/>
        <i x="161" s="1" nd="1"/>
        <i x="183" s="1" nd="1"/>
        <i x="163" s="1" nd="1"/>
        <i x="184" s="1" nd="1"/>
        <i x="200" s="1" nd="1"/>
        <i x="204" s="1" nd="1"/>
        <i x="121" s="1" nd="1"/>
        <i x="135" s="1" nd="1"/>
        <i x="123" s="1" nd="1"/>
        <i x="186" s="1" nd="1"/>
        <i x="202" s="1" nd="1"/>
        <i x="191" s="1" nd="1"/>
        <i x="165" s="1" nd="1"/>
        <i x="114" s="1" nd="1"/>
        <i x="188" s="1" nd="1"/>
        <i x="169" s="1" nd="1"/>
        <i x="193" s="1" nd="1"/>
        <i x="189" s="1" nd="1"/>
        <i x="194" s="1" nd="1"/>
        <i x="199" s="1" nd="1"/>
        <i x="197" s="1" nd="1"/>
        <i x="203" s="1" nd="1"/>
        <i x="195" s="1" nd="1"/>
        <i x="187" s="1" nd="1"/>
        <i x="196" s="1" nd="1"/>
        <i x="138" s="1" nd="1"/>
        <i x="72" s="1" nd="1"/>
        <i x="171" s="1" nd="1"/>
        <i x="47" s="1" nd="1"/>
        <i x="22" s="1" nd="1"/>
        <i x="40" s="1" nd="1"/>
        <i x="71" s="1" nd="1"/>
        <i x="39" s="1" nd="1"/>
        <i x="142" s="1" nd="1"/>
        <i x="110" s="1" nd="1"/>
        <i x="108" s="1" nd="1"/>
        <i x="126" s="1" nd="1"/>
        <i x="74" s="1" nd="1"/>
        <i x="75" s="1" nd="1"/>
        <i x="102" s="1" nd="1"/>
        <i x="41" s="1" nd="1"/>
        <i x="50" s="1" nd="1"/>
        <i x="24" s="1" nd="1"/>
        <i x="109" s="1" nd="1"/>
        <i x="125" s="1" nd="1"/>
        <i x="128" s="1" nd="1"/>
        <i x="149" s="1" nd="1"/>
        <i x="148" s="1" nd="1"/>
        <i x="146" s="1" nd="1"/>
        <i x="25" s="1" nd="1"/>
        <i x="68" s="1" nd="1"/>
        <i x="103" s="1" nd="1"/>
        <i x="29" s="1" nd="1"/>
        <i x="26" s="1" nd="1"/>
        <i x="139" s="1" nd="1"/>
        <i x="61" s="1" nd="1"/>
        <i x="79" s="1" nd="1"/>
        <i x="63" s="1" nd="1"/>
        <i x="112" s="1" nd="1"/>
        <i x="38" s="1" nd="1"/>
        <i x="16" s="1" nd="1"/>
        <i x="181" s="1" nd="1"/>
        <i x="178" s="1" nd="1"/>
        <i x="127" s="1" nd="1"/>
        <i x="104" s="1" nd="1"/>
        <i x="156" s="1" nd="1"/>
        <i x="180" s="1" nd="1"/>
        <i x="69" s="1" nd="1"/>
        <i x="30" s="1" nd="1"/>
        <i x="86" s="1" nd="1"/>
        <i x="48" s="1" nd="1"/>
        <i x="78" s="1" nd="1"/>
        <i x="15" s="1" nd="1"/>
        <i x="173" s="1" nd="1"/>
        <i x="62" s="1" nd="1"/>
        <i x="28" s="1" nd="1"/>
        <i x="131" s="1" nd="1"/>
        <i x="111" s="1" nd="1"/>
        <i x="113" s="1" nd="1"/>
        <i x="80" s="1" nd="1"/>
        <i x="64" s="1" nd="1"/>
        <i x="27" s="1" nd="1"/>
        <i x="141" s="1" nd="1"/>
        <i x="106" s="1" nd="1"/>
        <i x="107" s="1" nd="1"/>
        <i x="105" s="1" nd="1"/>
        <i x="174" s="1" nd="1"/>
        <i x="176" s="1" nd="1"/>
        <i x="209" s="1" nd="1"/>
        <i x="37" s="1" nd="1"/>
        <i x="17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GADOR1" xr10:uid="{64EC0CF2-6899-4E2A-A81A-2EF58E4D886C}" sourceName="PAGADOR">
  <pivotTables>
    <pivotTable tabId="8" name="Tabela dinâmica5"/>
    <pivotTable tabId="6" name="Tabela dinâmica3"/>
    <pivotTable tabId="7" name="Tabela dinâmica4"/>
  </pivotTables>
  <data>
    <tabular pivotCacheId="1230992998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E4F436F5-53E6-438F-8B06-74E1915621AE}" cache="SegmentaçãodeDados_DATA" caption="DATA" rowHeight="234950"/>
  <slicer name="FORNECEDOR" xr10:uid="{80A52E5C-72BC-4594-8850-136C6D84E880}" cache="SegmentaçãodeDados_FORNECEDOR1" caption="FORNECEDOR" rowHeight="234950"/>
  <slicer name="PAGADOR" xr10:uid="{B0B47CFF-76D0-41F0-BAE5-E145AD95A8CE}" cache="SegmentaçãodeDados_PAGADOR1" caption="PAGADOR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RNECEDOR 1" xr10:uid="{5C4A64B9-05C4-4936-B3B3-CA413CDF45FE}" cache="SegmentaçãodeDados_FORNECEDOR1" caption="FORNECEDOR" rowHeight="234950"/>
  <slicer name="PAGADOR 1" xr10:uid="{75E14E37-8F2C-4B2C-BE49-A035281BB051}" cache="SegmentaçãodeDados_PAGADOR1" caption="PAGADOR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ovimentoNov2025" displayName="MovimentoNov2025" ref="A3:D187" totalsRowShown="0" headerRowDxfId="29" headerRowBorderDxfId="28" tableBorderDxfId="27" headerRowCellStyle="Normal 2">
  <autoFilter ref="A3:D187" xr:uid="{00000000-0009-0000-0100-000003000000}"/>
  <tableColumns count="4">
    <tableColumn id="7" xr3:uid="{00000000-0010-0000-0000-000007000000}" name="DATA" dataDxfId="26" totalsRowDxfId="25" dataCellStyle="Normal 2"/>
    <tableColumn id="2" xr3:uid="{00000000-0010-0000-0000-000002000000}" name="FORNECEDOR" dataDxfId="24" totalsRowDxfId="23" dataCellStyle="Normal 2"/>
    <tableColumn id="3" xr3:uid="{00000000-0010-0000-0000-000003000000}" name="DESPESAS" dataDxfId="22" totalsRowDxfId="21" dataCellStyle="Normal 2"/>
    <tableColumn id="5" xr3:uid="{00000000-0010-0000-0000-000005000000}" name="PAGAD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4" displayName="Tabela4" ref="A3:D11" totalsRowShown="0" dataDxfId="20">
  <autoFilter ref="A3:D11" xr:uid="{00000000-0009-0000-0100-000004000000}"/>
  <tableColumns count="4">
    <tableColumn id="2" xr3:uid="{00000000-0010-0000-0100-000002000000}" name="DATA" dataDxfId="19"/>
    <tableColumn id="3" xr3:uid="{00000000-0010-0000-0100-000003000000}" name="FORNECEDOR" dataDxfId="18"/>
    <tableColumn id="4" xr3:uid="{00000000-0010-0000-0100-000004000000}" name="DESPESAS" dataDxfId="17"/>
    <tableColumn id="6" xr3:uid="{00000000-0010-0000-0100-000006000000}" name="PAGADOR" dataDxfId="16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FA04B5-39BA-436B-8606-2F19B358A032}" name="BASE" displayName="BASE" ref="A2:F379" totalsRowShown="0" headerRowDxfId="15" headerRowBorderDxfId="14" tableBorderDxfId="13" headerRowCellStyle="Normal 2">
  <autoFilter ref="A2:F379" xr:uid="{88FA04B5-39BA-436B-8606-2F19B358A032}"/>
  <tableColumns count="6">
    <tableColumn id="1" xr3:uid="{5FDE1804-5BF9-4E40-B335-E53E4B53E2D2}" name="CÓD DE LANÇ." dataDxfId="12" dataCellStyle="Normal 2"/>
    <tableColumn id="7" xr3:uid="{E5C60E8C-9497-48CF-9833-7A9FC8D95C23}" name="DATA" dataDxfId="11" totalsRowDxfId="10" dataCellStyle="Normal 2"/>
    <tableColumn id="2" xr3:uid="{3191E73B-2FB2-4087-A30C-55BC9049E1F9}" name="FORNECEDOR" dataDxfId="9" totalsRowDxfId="8" dataCellStyle="Normal 2"/>
    <tableColumn id="3" xr3:uid="{85FD2A68-BCA6-4271-97AB-3B99659D9B46}" name="DESPESAS" dataDxfId="7" totalsRowDxfId="6" dataCellStyle="Normal 2"/>
    <tableColumn id="5" xr3:uid="{3D766AC9-AD6E-40F8-ACE9-0320C163709E}" name="PAGADOR"/>
    <tableColumn id="4" xr3:uid="{E04C57D8-1F65-43D5-96F3-6B6B2F4C01A6}" name="UN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B0889BC6-B1BA-47A0-B56C-030C8D5142F5}" sourceName="DATA">
  <pivotTables>
    <pivotTable tabId="8" name="Tabela dinâmica5"/>
    <pivotTable tabId="6" name="Tabela dinâmica3"/>
    <pivotTable tabId="7" name="Tabela dinâmica4"/>
  </pivotTables>
  <state minimalRefreshVersion="6" lastRefreshVersion="6" pivotCacheId="1230992998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1" xr10:uid="{64C0B08F-E6B1-4B31-8605-D49459A23792}" cache="NativeTimeline_DATA" caption="DATA" level="3" selectionLevel="3" scrollPosition="2026-05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microsoft.com/office/2011/relationships/timeline" Target="../timelines/timelin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3507-2FB4-4870-9926-A93C9B560373}">
  <dimension ref="A3:B6"/>
  <sheetViews>
    <sheetView workbookViewId="0">
      <selection activeCell="B4" sqref="B4"/>
    </sheetView>
  </sheetViews>
  <sheetFormatPr defaultRowHeight="14.4"/>
  <cols>
    <col min="1" max="1" width="17.21875" bestFit="1" customWidth="1"/>
    <col min="2" max="2" width="20.88671875" bestFit="1" customWidth="1"/>
  </cols>
  <sheetData>
    <row r="3" spans="1:2">
      <c r="A3" s="43" t="s">
        <v>592</v>
      </c>
      <c r="B3" t="s">
        <v>598</v>
      </c>
    </row>
    <row r="4" spans="1:2">
      <c r="A4" s="1" t="s">
        <v>589</v>
      </c>
      <c r="B4" s="30">
        <v>27747.350000000009</v>
      </c>
    </row>
    <row r="5" spans="1:2">
      <c r="A5" s="1" t="s">
        <v>590</v>
      </c>
      <c r="B5" s="30">
        <v>238120.52000000002</v>
      </c>
    </row>
    <row r="6" spans="1:2">
      <c r="A6" s="1" t="s">
        <v>593</v>
      </c>
      <c r="B6" s="30">
        <v>265867.87000000005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3F52-2B1F-404E-9A27-B16ADDBE2854}">
  <dimension ref="A3:B17"/>
  <sheetViews>
    <sheetView workbookViewId="0">
      <selection activeCell="B4" sqref="B4"/>
    </sheetView>
  </sheetViews>
  <sheetFormatPr defaultRowHeight="14.4"/>
  <cols>
    <col min="1" max="1" width="37.44140625" bestFit="1" customWidth="1"/>
    <col min="2" max="2" width="24" bestFit="1" customWidth="1"/>
  </cols>
  <sheetData>
    <row r="3" spans="1:2">
      <c r="A3" s="43" t="s">
        <v>592</v>
      </c>
      <c r="B3" t="s">
        <v>597</v>
      </c>
    </row>
    <row r="4" spans="1:2">
      <c r="A4" s="1" t="s">
        <v>160</v>
      </c>
      <c r="B4" s="30">
        <v>220</v>
      </c>
    </row>
    <row r="5" spans="1:2">
      <c r="A5" s="1" t="s">
        <v>66</v>
      </c>
      <c r="B5" s="30">
        <v>9229</v>
      </c>
    </row>
    <row r="6" spans="1:2">
      <c r="A6" s="1" t="s">
        <v>7</v>
      </c>
      <c r="B6" s="30">
        <v>21601.109999999997</v>
      </c>
    </row>
    <row r="7" spans="1:2">
      <c r="A7" s="1" t="s">
        <v>278</v>
      </c>
      <c r="B7" s="30">
        <v>77.47</v>
      </c>
    </row>
    <row r="8" spans="1:2">
      <c r="A8" s="1" t="s">
        <v>605</v>
      </c>
      <c r="B8" s="30">
        <v>40701.859999999993</v>
      </c>
    </row>
    <row r="9" spans="1:2">
      <c r="A9" s="1" t="s">
        <v>606</v>
      </c>
      <c r="B9" s="30">
        <v>181.25</v>
      </c>
    </row>
    <row r="10" spans="1:2">
      <c r="A10" s="1" t="s">
        <v>607</v>
      </c>
      <c r="B10" s="30">
        <v>915.07999999999993</v>
      </c>
    </row>
    <row r="11" spans="1:2">
      <c r="A11" s="1" t="s">
        <v>608</v>
      </c>
      <c r="B11" s="30">
        <v>7952.7</v>
      </c>
    </row>
    <row r="12" spans="1:2">
      <c r="A12" s="1" t="s">
        <v>609</v>
      </c>
      <c r="B12" s="30">
        <v>1648</v>
      </c>
    </row>
    <row r="13" spans="1:2">
      <c r="A13" s="1" t="s">
        <v>610</v>
      </c>
      <c r="B13" s="30">
        <v>1690.9199999999992</v>
      </c>
    </row>
    <row r="14" spans="1:2">
      <c r="A14" s="1" t="s">
        <v>611</v>
      </c>
      <c r="B14" s="30">
        <v>6621.4899999999989</v>
      </c>
    </row>
    <row r="15" spans="1:2">
      <c r="A15" s="1" t="s">
        <v>612</v>
      </c>
      <c r="B15" s="30">
        <v>172722.99000000002</v>
      </c>
    </row>
    <row r="16" spans="1:2">
      <c r="A16" s="1" t="s">
        <v>613</v>
      </c>
      <c r="B16" s="30">
        <v>2306</v>
      </c>
    </row>
    <row r="17" spans="1:2">
      <c r="A17" s="1" t="s">
        <v>593</v>
      </c>
      <c r="B17" s="30">
        <v>265867.87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982D-9192-4675-B2BE-342A7762BCAF}">
  <dimension ref="A3:B29"/>
  <sheetViews>
    <sheetView workbookViewId="0">
      <selection activeCell="A5" sqref="A5"/>
    </sheetView>
  </sheetViews>
  <sheetFormatPr defaultRowHeight="14.4"/>
  <cols>
    <col min="1" max="1" width="10.5546875" style="28" bestFit="1" customWidth="1"/>
    <col min="2" max="2" width="22" bestFit="1" customWidth="1"/>
  </cols>
  <sheetData>
    <row r="3" spans="1:2">
      <c r="A3" s="47" t="s">
        <v>596</v>
      </c>
      <c r="B3" t="s">
        <v>599</v>
      </c>
    </row>
    <row r="4" spans="1:2">
      <c r="A4" s="46">
        <v>46143</v>
      </c>
      <c r="B4" s="30">
        <v>50</v>
      </c>
    </row>
    <row r="5" spans="1:2">
      <c r="A5" s="46">
        <v>46146</v>
      </c>
      <c r="B5" s="30">
        <v>4039.1600000000003</v>
      </c>
    </row>
    <row r="6" spans="1:2">
      <c r="A6" s="46">
        <v>46147</v>
      </c>
      <c r="B6" s="30">
        <v>5047.17</v>
      </c>
    </row>
    <row r="7" spans="1:2">
      <c r="A7" s="46">
        <v>46148</v>
      </c>
      <c r="B7" s="30">
        <v>3274.5099999999998</v>
      </c>
    </row>
    <row r="8" spans="1:2">
      <c r="A8" s="46">
        <v>46149</v>
      </c>
      <c r="B8" s="30">
        <v>24521.23</v>
      </c>
    </row>
    <row r="9" spans="1:2">
      <c r="A9" s="46">
        <v>46150</v>
      </c>
      <c r="B9" s="30">
        <v>21377.02</v>
      </c>
    </row>
    <row r="10" spans="1:2">
      <c r="A10" s="46">
        <v>46151</v>
      </c>
      <c r="B10" s="30">
        <v>100</v>
      </c>
    </row>
    <row r="11" spans="1:2">
      <c r="A11" s="46">
        <v>46155</v>
      </c>
      <c r="B11" s="30">
        <v>22672.36</v>
      </c>
    </row>
    <row r="12" spans="1:2">
      <c r="A12" s="46">
        <v>46156</v>
      </c>
      <c r="B12" s="30">
        <v>14721.1</v>
      </c>
    </row>
    <row r="13" spans="1:2">
      <c r="A13" s="46">
        <v>46157</v>
      </c>
      <c r="B13" s="30">
        <v>3253.23</v>
      </c>
    </row>
    <row r="14" spans="1:2">
      <c r="A14" s="46">
        <v>46160</v>
      </c>
      <c r="B14" s="30">
        <v>23729.23</v>
      </c>
    </row>
    <row r="15" spans="1:2">
      <c r="A15" s="46">
        <v>46161</v>
      </c>
      <c r="B15" s="30">
        <v>5561.05</v>
      </c>
    </row>
    <row r="16" spans="1:2">
      <c r="A16" s="46">
        <v>46162</v>
      </c>
      <c r="B16" s="30">
        <v>9424</v>
      </c>
    </row>
    <row r="17" spans="1:2">
      <c r="A17" s="46">
        <v>46163</v>
      </c>
      <c r="B17" s="30">
        <v>13737.75</v>
      </c>
    </row>
    <row r="18" spans="1:2">
      <c r="A18" s="46">
        <v>46164</v>
      </c>
      <c r="B18" s="30">
        <v>2059.61</v>
      </c>
    </row>
    <row r="19" spans="1:2">
      <c r="A19" s="46">
        <v>46167</v>
      </c>
      <c r="B19" s="30">
        <v>19367.04</v>
      </c>
    </row>
    <row r="20" spans="1:2">
      <c r="A20" s="46">
        <v>46170</v>
      </c>
      <c r="B20" s="30">
        <v>1115.73</v>
      </c>
    </row>
    <row r="21" spans="1:2">
      <c r="A21" s="46">
        <v>46153</v>
      </c>
      <c r="B21" s="30">
        <v>40206.229999999996</v>
      </c>
    </row>
    <row r="22" spans="1:2">
      <c r="A22" s="46">
        <v>46154</v>
      </c>
      <c r="B22" s="30">
        <v>6618.8300000000008</v>
      </c>
    </row>
    <row r="23" spans="1:2">
      <c r="A23" s="46">
        <v>46168</v>
      </c>
      <c r="B23" s="30">
        <v>33258.910000000003</v>
      </c>
    </row>
    <row r="24" spans="1:2">
      <c r="A24" s="46">
        <v>46169</v>
      </c>
      <c r="B24" s="30">
        <v>11733.71</v>
      </c>
    </row>
    <row r="25" spans="1:2">
      <c r="A25" s="46" t="s">
        <v>593</v>
      </c>
      <c r="B25" s="30">
        <v>265867.87</v>
      </c>
    </row>
    <row r="26" spans="1:2">
      <c r="A26"/>
    </row>
    <row r="27" spans="1:2">
      <c r="A27"/>
    </row>
    <row r="28" spans="1:2">
      <c r="A28"/>
    </row>
    <row r="29" spans="1:2">
      <c r="A2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0"/>
  <sheetViews>
    <sheetView showGridLines="0" topLeftCell="A168" zoomScaleNormal="100" workbookViewId="0">
      <selection activeCell="A186" sqref="A186:XFD186"/>
    </sheetView>
  </sheetViews>
  <sheetFormatPr defaultRowHeight="14.4"/>
  <cols>
    <col min="1" max="1" width="11.33203125" style="4" customWidth="1"/>
    <col min="2" max="2" width="31" style="1" customWidth="1"/>
    <col min="3" max="3" width="15.33203125" style="13" customWidth="1"/>
    <col min="4" max="4" width="10.5546875" customWidth="1"/>
    <col min="6" max="6" width="14" bestFit="1" customWidth="1"/>
  </cols>
  <sheetData>
    <row r="1" spans="1:6">
      <c r="A1" s="75" t="s">
        <v>6</v>
      </c>
      <c r="B1" s="76"/>
      <c r="C1" s="76"/>
      <c r="D1" s="76"/>
    </row>
    <row r="2" spans="1:6" ht="15" thickBot="1">
      <c r="A2" s="77" t="s">
        <v>151</v>
      </c>
      <c r="B2" s="77"/>
      <c r="C2" s="77"/>
      <c r="D2" s="77"/>
    </row>
    <row r="3" spans="1:6" ht="31.5" customHeight="1">
      <c r="A3" s="14" t="s">
        <v>0</v>
      </c>
      <c r="B3" s="3" t="s">
        <v>1</v>
      </c>
      <c r="C3" s="12" t="s">
        <v>2</v>
      </c>
      <c r="D3" s="19" t="s">
        <v>5</v>
      </c>
    </row>
    <row r="4" spans="1:6" ht="15" thickBot="1">
      <c r="A4" s="16">
        <v>46143</v>
      </c>
      <c r="B4" s="8" t="s">
        <v>605</v>
      </c>
      <c r="C4" s="31">
        <v>50</v>
      </c>
      <c r="D4" s="18" t="s">
        <v>590</v>
      </c>
    </row>
    <row r="5" spans="1:6">
      <c r="A5" s="16">
        <v>46146</v>
      </c>
      <c r="B5" s="8" t="s">
        <v>605</v>
      </c>
      <c r="C5" s="31">
        <v>560</v>
      </c>
      <c r="D5" s="18" t="s">
        <v>590</v>
      </c>
      <c r="F5" s="44" t="s">
        <v>4</v>
      </c>
    </row>
    <row r="6" spans="1:6">
      <c r="A6" s="16">
        <v>46146</v>
      </c>
      <c r="B6" s="6" t="s">
        <v>606</v>
      </c>
      <c r="C6" s="31">
        <v>95</v>
      </c>
      <c r="D6" s="18" t="s">
        <v>589</v>
      </c>
    </row>
    <row r="7" spans="1:6">
      <c r="A7" s="16">
        <v>46146</v>
      </c>
      <c r="B7" s="6" t="s">
        <v>607</v>
      </c>
      <c r="C7" s="31">
        <v>348.2</v>
      </c>
      <c r="D7" s="18" t="s">
        <v>589</v>
      </c>
    </row>
    <row r="8" spans="1:6">
      <c r="A8" s="16">
        <v>46146</v>
      </c>
      <c r="B8" s="6" t="s">
        <v>608</v>
      </c>
      <c r="C8" s="31">
        <v>454.72</v>
      </c>
      <c r="D8" s="18" t="s">
        <v>589</v>
      </c>
    </row>
    <row r="9" spans="1:6">
      <c r="A9" s="16">
        <v>46146</v>
      </c>
      <c r="B9" s="6" t="s">
        <v>609</v>
      </c>
      <c r="C9" s="31">
        <v>824</v>
      </c>
      <c r="D9" s="18" t="s">
        <v>589</v>
      </c>
    </row>
    <row r="10" spans="1:6">
      <c r="A10" s="16">
        <v>46146</v>
      </c>
      <c r="B10" s="6" t="s">
        <v>609</v>
      </c>
      <c r="C10" s="31">
        <v>824</v>
      </c>
      <c r="D10" s="18" t="s">
        <v>589</v>
      </c>
    </row>
    <row r="11" spans="1:6">
      <c r="A11" s="16">
        <v>46146</v>
      </c>
      <c r="B11" s="6" t="s">
        <v>610</v>
      </c>
      <c r="C11" s="31">
        <v>10</v>
      </c>
      <c r="D11" s="18" t="s">
        <v>589</v>
      </c>
    </row>
    <row r="12" spans="1:6">
      <c r="A12" s="16">
        <v>46146</v>
      </c>
      <c r="B12" s="6" t="s">
        <v>610</v>
      </c>
      <c r="C12" s="31">
        <v>81.400000000000006</v>
      </c>
      <c r="D12" s="18" t="s">
        <v>589</v>
      </c>
    </row>
    <row r="13" spans="1:6">
      <c r="A13" s="16">
        <v>46146</v>
      </c>
      <c r="B13" s="6" t="s">
        <v>610</v>
      </c>
      <c r="C13" s="31">
        <v>11.08</v>
      </c>
      <c r="D13" s="18" t="s">
        <v>589</v>
      </c>
    </row>
    <row r="14" spans="1:6">
      <c r="A14" s="16">
        <v>46146</v>
      </c>
      <c r="B14" s="6" t="s">
        <v>610</v>
      </c>
      <c r="C14" s="31">
        <v>69.709999999999994</v>
      </c>
      <c r="D14" s="18" t="s">
        <v>590</v>
      </c>
    </row>
    <row r="15" spans="1:6">
      <c r="A15" s="16">
        <v>46146</v>
      </c>
      <c r="B15" s="6" t="s">
        <v>7</v>
      </c>
      <c r="C15" s="31">
        <v>111.07</v>
      </c>
      <c r="D15" s="18" t="s">
        <v>590</v>
      </c>
    </row>
    <row r="16" spans="1:6">
      <c r="A16" s="16">
        <v>46146</v>
      </c>
      <c r="B16" s="6" t="s">
        <v>610</v>
      </c>
      <c r="C16" s="31">
        <v>0.75</v>
      </c>
      <c r="D16" s="18" t="s">
        <v>590</v>
      </c>
    </row>
    <row r="17" spans="1:4">
      <c r="A17" s="16">
        <v>46146</v>
      </c>
      <c r="B17" s="6" t="s">
        <v>610</v>
      </c>
      <c r="C17" s="31">
        <v>0.75</v>
      </c>
      <c r="D17" s="18" t="s">
        <v>590</v>
      </c>
    </row>
    <row r="18" spans="1:4">
      <c r="A18" s="16">
        <v>46146</v>
      </c>
      <c r="B18" s="6" t="s">
        <v>610</v>
      </c>
      <c r="C18" s="31">
        <v>642.94000000000005</v>
      </c>
      <c r="D18" s="18" t="s">
        <v>590</v>
      </c>
    </row>
    <row r="19" spans="1:4">
      <c r="A19" s="16">
        <v>46146</v>
      </c>
      <c r="B19" s="6" t="s">
        <v>610</v>
      </c>
      <c r="C19" s="31">
        <v>5.54</v>
      </c>
      <c r="D19" s="18" t="s">
        <v>590</v>
      </c>
    </row>
    <row r="20" spans="1:4">
      <c r="A20" s="16">
        <v>46147</v>
      </c>
      <c r="B20" s="8" t="s">
        <v>605</v>
      </c>
      <c r="C20" s="31">
        <v>150</v>
      </c>
      <c r="D20" s="18" t="s">
        <v>590</v>
      </c>
    </row>
    <row r="21" spans="1:4">
      <c r="A21" s="16">
        <v>46147</v>
      </c>
      <c r="B21" s="8" t="s">
        <v>605</v>
      </c>
      <c r="C21" s="31">
        <v>130</v>
      </c>
      <c r="D21" s="18" t="s">
        <v>590</v>
      </c>
    </row>
    <row r="22" spans="1:4">
      <c r="A22" s="16">
        <v>46147</v>
      </c>
      <c r="B22" s="11" t="s">
        <v>611</v>
      </c>
      <c r="C22" s="31">
        <v>760.33</v>
      </c>
      <c r="D22" s="18" t="s">
        <v>590</v>
      </c>
    </row>
    <row r="23" spans="1:4">
      <c r="A23" s="16">
        <v>46147</v>
      </c>
      <c r="B23" s="6" t="s">
        <v>7</v>
      </c>
      <c r="C23" s="31">
        <v>1592.75</v>
      </c>
      <c r="D23" s="18" t="s">
        <v>590</v>
      </c>
    </row>
    <row r="24" spans="1:4">
      <c r="A24" s="16">
        <v>46147</v>
      </c>
      <c r="B24" s="8" t="s">
        <v>605</v>
      </c>
      <c r="C24" s="31">
        <v>1011</v>
      </c>
      <c r="D24" s="18" t="s">
        <v>589</v>
      </c>
    </row>
    <row r="25" spans="1:4">
      <c r="A25" s="16">
        <v>46147</v>
      </c>
      <c r="B25" s="8" t="s">
        <v>605</v>
      </c>
      <c r="C25" s="31">
        <v>430.08</v>
      </c>
      <c r="D25" s="18" t="s">
        <v>589</v>
      </c>
    </row>
    <row r="26" spans="1:4">
      <c r="A26" s="16">
        <v>46147</v>
      </c>
      <c r="B26" s="8" t="s">
        <v>605</v>
      </c>
      <c r="C26" s="31">
        <v>50</v>
      </c>
      <c r="D26" s="18" t="s">
        <v>590</v>
      </c>
    </row>
    <row r="27" spans="1:4">
      <c r="A27" s="16">
        <v>46147</v>
      </c>
      <c r="B27" s="8" t="s">
        <v>605</v>
      </c>
      <c r="C27" s="31">
        <v>284.64999999999998</v>
      </c>
      <c r="D27" s="18" t="s">
        <v>590</v>
      </c>
    </row>
    <row r="28" spans="1:4">
      <c r="A28" s="16">
        <v>46147</v>
      </c>
      <c r="B28" s="6" t="s">
        <v>7</v>
      </c>
      <c r="C28" s="31">
        <v>99.27</v>
      </c>
      <c r="D28" s="18" t="s">
        <v>589</v>
      </c>
    </row>
    <row r="29" spans="1:4">
      <c r="A29" s="16">
        <v>46147</v>
      </c>
      <c r="B29" s="6" t="s">
        <v>610</v>
      </c>
      <c r="C29" s="31">
        <v>61.01</v>
      </c>
      <c r="D29" s="18" t="s">
        <v>589</v>
      </c>
    </row>
    <row r="30" spans="1:4">
      <c r="A30" s="16">
        <v>46147</v>
      </c>
      <c r="B30" s="6" t="s">
        <v>610</v>
      </c>
      <c r="C30" s="31">
        <v>5.54</v>
      </c>
      <c r="D30" s="18" t="s">
        <v>589</v>
      </c>
    </row>
    <row r="31" spans="1:4">
      <c r="A31" s="16">
        <v>46147</v>
      </c>
      <c r="B31" s="6" t="s">
        <v>610</v>
      </c>
      <c r="C31" s="31">
        <v>5.54</v>
      </c>
      <c r="D31" s="18" t="s">
        <v>589</v>
      </c>
    </row>
    <row r="32" spans="1:4">
      <c r="A32" s="16">
        <v>46147</v>
      </c>
      <c r="B32" s="6" t="s">
        <v>610</v>
      </c>
      <c r="C32" s="31">
        <v>0.75</v>
      </c>
      <c r="D32" s="18" t="s">
        <v>590</v>
      </c>
    </row>
    <row r="33" spans="1:4">
      <c r="A33" s="16">
        <v>46147</v>
      </c>
      <c r="B33" s="6" t="s">
        <v>610</v>
      </c>
      <c r="C33" s="31">
        <v>139.83000000000001</v>
      </c>
      <c r="D33" s="18" t="s">
        <v>590</v>
      </c>
    </row>
    <row r="34" spans="1:4">
      <c r="A34" s="16">
        <v>46147</v>
      </c>
      <c r="B34" s="6" t="s">
        <v>7</v>
      </c>
      <c r="C34" s="31">
        <v>81.08</v>
      </c>
      <c r="D34" s="18" t="s">
        <v>590</v>
      </c>
    </row>
    <row r="35" spans="1:4">
      <c r="A35" s="16">
        <v>46147</v>
      </c>
      <c r="B35" s="6" t="s">
        <v>7</v>
      </c>
      <c r="C35" s="31">
        <v>228.72</v>
      </c>
      <c r="D35" s="18" t="s">
        <v>590</v>
      </c>
    </row>
    <row r="36" spans="1:4">
      <c r="A36" s="16">
        <v>46147</v>
      </c>
      <c r="B36" s="6" t="s">
        <v>610</v>
      </c>
      <c r="C36" s="31">
        <v>16.62</v>
      </c>
      <c r="D36" s="18" t="s">
        <v>590</v>
      </c>
    </row>
    <row r="37" spans="1:4">
      <c r="A37" s="16">
        <v>46148</v>
      </c>
      <c r="B37" s="6" t="s">
        <v>7</v>
      </c>
      <c r="C37" s="31">
        <v>977.08</v>
      </c>
      <c r="D37" s="18" t="s">
        <v>590</v>
      </c>
    </row>
    <row r="38" spans="1:4">
      <c r="A38" s="16">
        <v>46148</v>
      </c>
      <c r="B38" s="8" t="s">
        <v>605</v>
      </c>
      <c r="C38" s="32">
        <v>600</v>
      </c>
      <c r="D38" s="18" t="s">
        <v>589</v>
      </c>
    </row>
    <row r="39" spans="1:4">
      <c r="A39" s="16">
        <v>46148</v>
      </c>
      <c r="B39" s="8" t="s">
        <v>605</v>
      </c>
      <c r="C39" s="32">
        <v>1142.9000000000001</v>
      </c>
      <c r="D39" s="18" t="s">
        <v>590</v>
      </c>
    </row>
    <row r="40" spans="1:4">
      <c r="A40" s="16">
        <v>46148</v>
      </c>
      <c r="B40" s="8" t="s">
        <v>605</v>
      </c>
      <c r="C40" s="32">
        <v>320</v>
      </c>
      <c r="D40" s="18" t="s">
        <v>590</v>
      </c>
    </row>
    <row r="41" spans="1:4">
      <c r="A41" s="16">
        <v>46148</v>
      </c>
      <c r="B41" s="6" t="s">
        <v>610</v>
      </c>
      <c r="C41" s="32">
        <v>40</v>
      </c>
      <c r="D41" s="18" t="s">
        <v>589</v>
      </c>
    </row>
    <row r="42" spans="1:4">
      <c r="A42" s="16">
        <v>46148</v>
      </c>
      <c r="B42" s="6" t="s">
        <v>610</v>
      </c>
      <c r="C42" s="32">
        <v>8.31</v>
      </c>
      <c r="D42" s="18" t="s">
        <v>589</v>
      </c>
    </row>
    <row r="43" spans="1:4">
      <c r="A43" s="16">
        <v>46148</v>
      </c>
      <c r="B43" s="6" t="s">
        <v>610</v>
      </c>
      <c r="C43" s="32">
        <v>3.23</v>
      </c>
      <c r="D43" s="18" t="s">
        <v>590</v>
      </c>
    </row>
    <row r="44" spans="1:4">
      <c r="A44" s="16">
        <v>46148</v>
      </c>
      <c r="B44" s="6" t="s">
        <v>610</v>
      </c>
      <c r="C44" s="32">
        <v>180.22</v>
      </c>
      <c r="D44" s="18" t="s">
        <v>590</v>
      </c>
    </row>
    <row r="45" spans="1:4">
      <c r="A45" s="16">
        <v>46148</v>
      </c>
      <c r="B45" s="6" t="s">
        <v>610</v>
      </c>
      <c r="C45" s="32">
        <v>2.77</v>
      </c>
      <c r="D45" s="18" t="s">
        <v>590</v>
      </c>
    </row>
    <row r="46" spans="1:4">
      <c r="A46" s="16">
        <v>46149</v>
      </c>
      <c r="B46" s="6" t="s">
        <v>610</v>
      </c>
      <c r="C46" s="32">
        <v>0.96</v>
      </c>
      <c r="D46" s="18" t="s">
        <v>590</v>
      </c>
    </row>
    <row r="47" spans="1:4">
      <c r="A47" s="16">
        <v>46149</v>
      </c>
      <c r="B47" s="6" t="s">
        <v>7</v>
      </c>
      <c r="C47" s="31">
        <v>855.42</v>
      </c>
      <c r="D47" s="18" t="s">
        <v>590</v>
      </c>
    </row>
    <row r="48" spans="1:4">
      <c r="A48" s="16">
        <v>46149</v>
      </c>
      <c r="B48" s="6" t="s">
        <v>612</v>
      </c>
      <c r="C48" s="31">
        <v>4500</v>
      </c>
      <c r="D48" s="18" t="s">
        <v>590</v>
      </c>
    </row>
    <row r="49" spans="1:4">
      <c r="A49" s="16">
        <v>46149</v>
      </c>
      <c r="B49" s="6" t="s">
        <v>612</v>
      </c>
      <c r="C49" s="31">
        <v>3600</v>
      </c>
      <c r="D49" s="24" t="s">
        <v>590</v>
      </c>
    </row>
    <row r="50" spans="1:4">
      <c r="A50" s="16">
        <v>46149</v>
      </c>
      <c r="B50" s="6" t="s">
        <v>612</v>
      </c>
      <c r="C50" s="31">
        <v>2650</v>
      </c>
      <c r="D50" s="18" t="s">
        <v>590</v>
      </c>
    </row>
    <row r="51" spans="1:4">
      <c r="A51" s="16">
        <v>46149</v>
      </c>
      <c r="B51" s="6" t="s">
        <v>612</v>
      </c>
      <c r="C51" s="31">
        <v>2650</v>
      </c>
      <c r="D51" s="18" t="s">
        <v>590</v>
      </c>
    </row>
    <row r="52" spans="1:4">
      <c r="A52" s="16">
        <v>46149</v>
      </c>
      <c r="B52" s="6" t="s">
        <v>612</v>
      </c>
      <c r="C52" s="31">
        <v>6916.3</v>
      </c>
      <c r="D52" s="24" t="s">
        <v>590</v>
      </c>
    </row>
    <row r="53" spans="1:4">
      <c r="A53" s="16">
        <v>46149</v>
      </c>
      <c r="B53" s="6" t="s">
        <v>612</v>
      </c>
      <c r="C53" s="31">
        <v>2650</v>
      </c>
      <c r="D53" s="24" t="s">
        <v>590</v>
      </c>
    </row>
    <row r="54" spans="1:4">
      <c r="A54" s="16">
        <v>46149</v>
      </c>
      <c r="B54" s="8" t="s">
        <v>605</v>
      </c>
      <c r="C54" s="31">
        <v>693.01</v>
      </c>
      <c r="D54" s="24" t="s">
        <v>589</v>
      </c>
    </row>
    <row r="55" spans="1:4">
      <c r="A55" s="16">
        <v>46149</v>
      </c>
      <c r="B55" s="6" t="s">
        <v>610</v>
      </c>
      <c r="C55" s="31">
        <v>2.77</v>
      </c>
      <c r="D55" s="24" t="s">
        <v>589</v>
      </c>
    </row>
    <row r="56" spans="1:4">
      <c r="A56" s="16">
        <v>46149</v>
      </c>
      <c r="B56" s="6" t="s">
        <v>610</v>
      </c>
      <c r="C56" s="31">
        <v>2.77</v>
      </c>
      <c r="D56" s="24" t="s">
        <v>590</v>
      </c>
    </row>
    <row r="57" spans="1:4">
      <c r="A57" s="16">
        <v>46150</v>
      </c>
      <c r="B57" s="11" t="s">
        <v>611</v>
      </c>
      <c r="C57" s="31">
        <v>758.06</v>
      </c>
      <c r="D57" s="18" t="s">
        <v>590</v>
      </c>
    </row>
    <row r="58" spans="1:4">
      <c r="A58" s="16">
        <v>46150</v>
      </c>
      <c r="B58" s="6" t="s">
        <v>7</v>
      </c>
      <c r="C58" s="31">
        <v>2558.66</v>
      </c>
      <c r="D58" s="18" t="s">
        <v>590</v>
      </c>
    </row>
    <row r="59" spans="1:4">
      <c r="A59" s="16">
        <v>46150</v>
      </c>
      <c r="B59" s="8" t="s">
        <v>605</v>
      </c>
      <c r="C59" s="31">
        <v>150</v>
      </c>
      <c r="D59" s="18" t="s">
        <v>590</v>
      </c>
    </row>
    <row r="60" spans="1:4">
      <c r="A60" s="16">
        <v>46150</v>
      </c>
      <c r="B60" s="6" t="s">
        <v>613</v>
      </c>
      <c r="C60" s="31">
        <v>320</v>
      </c>
      <c r="D60" s="18" t="s">
        <v>590</v>
      </c>
    </row>
    <row r="61" spans="1:4">
      <c r="A61" s="16">
        <v>46150</v>
      </c>
      <c r="B61" s="6" t="s">
        <v>613</v>
      </c>
      <c r="C61" s="31">
        <v>320</v>
      </c>
      <c r="D61" s="18" t="s">
        <v>590</v>
      </c>
    </row>
    <row r="62" spans="1:4">
      <c r="A62" s="16">
        <v>46150</v>
      </c>
      <c r="B62" s="6" t="s">
        <v>613</v>
      </c>
      <c r="C62" s="31">
        <v>150</v>
      </c>
      <c r="D62" s="18" t="s">
        <v>590</v>
      </c>
    </row>
    <row r="63" spans="1:4">
      <c r="A63" s="16">
        <v>46150</v>
      </c>
      <c r="B63" s="11" t="s">
        <v>611</v>
      </c>
      <c r="C63" s="31">
        <v>519.16999999999996</v>
      </c>
      <c r="D63" s="18" t="s">
        <v>590</v>
      </c>
    </row>
    <row r="64" spans="1:4">
      <c r="A64" s="16">
        <v>46150</v>
      </c>
      <c r="B64" s="6" t="s">
        <v>612</v>
      </c>
      <c r="C64" s="31">
        <v>4680</v>
      </c>
      <c r="D64" s="18" t="s">
        <v>590</v>
      </c>
    </row>
    <row r="65" spans="1:4">
      <c r="A65" s="16">
        <v>46150</v>
      </c>
      <c r="B65" s="6" t="s">
        <v>612</v>
      </c>
      <c r="C65" s="31">
        <v>5200</v>
      </c>
      <c r="D65" s="18" t="s">
        <v>590</v>
      </c>
    </row>
    <row r="66" spans="1:4">
      <c r="A66" s="16">
        <v>46150</v>
      </c>
      <c r="B66" s="8" t="s">
        <v>605</v>
      </c>
      <c r="C66" s="31">
        <v>5314.33</v>
      </c>
      <c r="D66" s="18" t="s">
        <v>589</v>
      </c>
    </row>
    <row r="67" spans="1:4">
      <c r="A67" s="16">
        <v>46150</v>
      </c>
      <c r="B67" s="8" t="s">
        <v>605</v>
      </c>
      <c r="C67" s="31">
        <v>253.81</v>
      </c>
      <c r="D67" s="18" t="s">
        <v>589</v>
      </c>
    </row>
    <row r="68" spans="1:4">
      <c r="A68" s="16">
        <v>46150</v>
      </c>
      <c r="B68" s="8" t="s">
        <v>605</v>
      </c>
      <c r="C68" s="31">
        <v>1011</v>
      </c>
      <c r="D68" s="18" t="s">
        <v>589</v>
      </c>
    </row>
    <row r="69" spans="1:4">
      <c r="A69" s="16">
        <v>46150</v>
      </c>
      <c r="B69" s="6" t="s">
        <v>610</v>
      </c>
      <c r="C69" s="31">
        <v>5.54</v>
      </c>
      <c r="D69" s="18" t="s">
        <v>589</v>
      </c>
    </row>
    <row r="70" spans="1:4">
      <c r="A70" s="16">
        <v>46150</v>
      </c>
      <c r="B70" s="6" t="s">
        <v>610</v>
      </c>
      <c r="C70" s="31">
        <v>2.77</v>
      </c>
      <c r="D70" s="18" t="s">
        <v>589</v>
      </c>
    </row>
    <row r="71" spans="1:4">
      <c r="A71" s="16">
        <v>46150</v>
      </c>
      <c r="B71" s="6" t="s">
        <v>610</v>
      </c>
      <c r="C71" s="31">
        <v>1.5</v>
      </c>
      <c r="D71" s="18" t="s">
        <v>590</v>
      </c>
    </row>
    <row r="72" spans="1:4">
      <c r="A72" s="16">
        <v>46150</v>
      </c>
      <c r="B72" s="6" t="s">
        <v>610</v>
      </c>
      <c r="C72" s="31">
        <v>57.42</v>
      </c>
      <c r="D72" s="18" t="s">
        <v>590</v>
      </c>
    </row>
    <row r="73" spans="1:4">
      <c r="A73" s="16">
        <v>46150</v>
      </c>
      <c r="B73" s="6" t="s">
        <v>610</v>
      </c>
      <c r="C73" s="31">
        <v>56.69</v>
      </c>
      <c r="D73" s="18" t="s">
        <v>590</v>
      </c>
    </row>
    <row r="74" spans="1:4">
      <c r="A74" s="16">
        <v>46150</v>
      </c>
      <c r="B74" s="6" t="s">
        <v>610</v>
      </c>
      <c r="C74" s="31">
        <v>18.07</v>
      </c>
      <c r="D74" s="18" t="s">
        <v>590</v>
      </c>
    </row>
    <row r="75" spans="1:4">
      <c r="A75" s="16">
        <v>46151</v>
      </c>
      <c r="B75" s="8" t="s">
        <v>605</v>
      </c>
      <c r="C75" s="31">
        <v>100</v>
      </c>
      <c r="D75" s="18" t="s">
        <v>590</v>
      </c>
    </row>
    <row r="76" spans="1:4">
      <c r="A76" s="48">
        <v>46153</v>
      </c>
      <c r="B76" s="6" t="s">
        <v>612</v>
      </c>
      <c r="C76" s="31">
        <v>4215.83</v>
      </c>
      <c r="D76" s="18" t="s">
        <v>590</v>
      </c>
    </row>
    <row r="77" spans="1:4">
      <c r="A77" s="48">
        <v>46153</v>
      </c>
      <c r="B77" s="6" t="s">
        <v>612</v>
      </c>
      <c r="C77" s="31">
        <v>6777.75</v>
      </c>
      <c r="D77" s="18" t="s">
        <v>590</v>
      </c>
    </row>
    <row r="78" spans="1:4">
      <c r="A78" s="48">
        <v>46153</v>
      </c>
      <c r="B78" s="6" t="s">
        <v>612</v>
      </c>
      <c r="C78" s="31">
        <v>3600</v>
      </c>
      <c r="D78" s="18" t="s">
        <v>590</v>
      </c>
    </row>
    <row r="79" spans="1:4">
      <c r="A79" s="48">
        <v>46153</v>
      </c>
      <c r="B79" s="6" t="s">
        <v>7</v>
      </c>
      <c r="C79" s="31">
        <v>1476.41</v>
      </c>
      <c r="D79" s="18" t="s">
        <v>590</v>
      </c>
    </row>
    <row r="80" spans="1:4">
      <c r="A80" s="48">
        <v>46153</v>
      </c>
      <c r="B80" s="6" t="s">
        <v>66</v>
      </c>
      <c r="C80" s="31">
        <v>9229</v>
      </c>
      <c r="D80" s="18" t="s">
        <v>590</v>
      </c>
    </row>
    <row r="81" spans="1:4">
      <c r="A81" s="48">
        <v>46153</v>
      </c>
      <c r="B81" s="6" t="s">
        <v>612</v>
      </c>
      <c r="C81" s="31">
        <v>4650</v>
      </c>
      <c r="D81" s="18" t="s">
        <v>590</v>
      </c>
    </row>
    <row r="82" spans="1:4">
      <c r="A82" s="48">
        <v>46153</v>
      </c>
      <c r="B82" s="8" t="s">
        <v>605</v>
      </c>
      <c r="C82" s="31">
        <v>996</v>
      </c>
      <c r="D82" s="18" t="s">
        <v>590</v>
      </c>
    </row>
    <row r="83" spans="1:4">
      <c r="A83" s="48">
        <v>46153</v>
      </c>
      <c r="B83" s="6" t="s">
        <v>608</v>
      </c>
      <c r="C83" s="31">
        <v>348.46</v>
      </c>
      <c r="D83" s="18" t="s">
        <v>589</v>
      </c>
    </row>
    <row r="84" spans="1:4">
      <c r="A84" s="48">
        <v>46153</v>
      </c>
      <c r="B84" s="6" t="s">
        <v>607</v>
      </c>
      <c r="C84" s="31">
        <v>348.2</v>
      </c>
      <c r="D84" s="18" t="s">
        <v>589</v>
      </c>
    </row>
    <row r="85" spans="1:4">
      <c r="A85" s="48">
        <v>46153</v>
      </c>
      <c r="B85" s="6" t="s">
        <v>607</v>
      </c>
      <c r="C85" s="31">
        <v>218.68</v>
      </c>
      <c r="D85" s="18" t="s">
        <v>589</v>
      </c>
    </row>
    <row r="86" spans="1:4">
      <c r="A86" s="48">
        <v>46153</v>
      </c>
      <c r="B86" s="8" t="s">
        <v>605</v>
      </c>
      <c r="C86" s="31">
        <v>400</v>
      </c>
      <c r="D86" s="18" t="s">
        <v>590</v>
      </c>
    </row>
    <row r="87" spans="1:4">
      <c r="A87" s="48">
        <v>46153</v>
      </c>
      <c r="B87" s="6" t="s">
        <v>610</v>
      </c>
      <c r="C87" s="31">
        <v>5.54</v>
      </c>
      <c r="D87" s="18" t="s">
        <v>589</v>
      </c>
    </row>
    <row r="88" spans="1:4">
      <c r="A88" s="48">
        <v>46153</v>
      </c>
      <c r="B88" s="6" t="s">
        <v>610</v>
      </c>
      <c r="C88" s="31">
        <v>4.58</v>
      </c>
      <c r="D88" s="18" t="s">
        <v>590</v>
      </c>
    </row>
    <row r="89" spans="1:4">
      <c r="A89" s="48">
        <v>46153</v>
      </c>
      <c r="B89" s="6" t="s">
        <v>610</v>
      </c>
      <c r="C89" s="31">
        <v>0.42</v>
      </c>
      <c r="D89" s="18" t="s">
        <v>590</v>
      </c>
    </row>
    <row r="90" spans="1:4">
      <c r="A90" s="48">
        <v>46153</v>
      </c>
      <c r="B90" s="8" t="s">
        <v>605</v>
      </c>
      <c r="C90" s="31">
        <v>7935.36</v>
      </c>
      <c r="D90" s="18" t="s">
        <v>590</v>
      </c>
    </row>
    <row r="91" spans="1:4">
      <c r="A91" s="48">
        <v>46154</v>
      </c>
      <c r="B91" s="11" t="s">
        <v>611</v>
      </c>
      <c r="C91" s="31">
        <v>600</v>
      </c>
      <c r="D91" s="18" t="s">
        <v>590</v>
      </c>
    </row>
    <row r="92" spans="1:4">
      <c r="A92" s="48">
        <v>46154</v>
      </c>
      <c r="B92" s="8" t="s">
        <v>605</v>
      </c>
      <c r="C92" s="31">
        <v>150</v>
      </c>
      <c r="D92" s="18" t="s">
        <v>590</v>
      </c>
    </row>
    <row r="93" spans="1:4">
      <c r="A93" s="48">
        <v>46154</v>
      </c>
      <c r="B93" s="8" t="s">
        <v>605</v>
      </c>
      <c r="C93" s="31">
        <v>480.01</v>
      </c>
      <c r="D93" s="18" t="s">
        <v>590</v>
      </c>
    </row>
    <row r="94" spans="1:4">
      <c r="A94" s="48">
        <v>46154</v>
      </c>
      <c r="B94" s="11" t="s">
        <v>611</v>
      </c>
      <c r="C94" s="31">
        <v>600</v>
      </c>
      <c r="D94" s="18" t="s">
        <v>590</v>
      </c>
    </row>
    <row r="95" spans="1:4">
      <c r="A95" s="48">
        <v>46154</v>
      </c>
      <c r="B95" s="6" t="s">
        <v>7</v>
      </c>
      <c r="C95" s="31">
        <v>886.47</v>
      </c>
      <c r="D95" s="18" t="s">
        <v>590</v>
      </c>
    </row>
    <row r="96" spans="1:4">
      <c r="A96" s="48">
        <v>46154</v>
      </c>
      <c r="B96" s="6" t="s">
        <v>612</v>
      </c>
      <c r="C96" s="31">
        <v>3872.53</v>
      </c>
      <c r="D96" s="18" t="s">
        <v>590</v>
      </c>
    </row>
    <row r="97" spans="1:4">
      <c r="A97" s="48">
        <v>46154</v>
      </c>
      <c r="B97" s="6" t="s">
        <v>610</v>
      </c>
      <c r="C97" s="31">
        <v>13.85</v>
      </c>
      <c r="D97" s="18" t="s">
        <v>589</v>
      </c>
    </row>
    <row r="98" spans="1:4">
      <c r="A98" s="48">
        <v>46154</v>
      </c>
      <c r="B98" s="6" t="s">
        <v>610</v>
      </c>
      <c r="C98" s="31">
        <v>7.66</v>
      </c>
      <c r="D98" s="18" t="s">
        <v>590</v>
      </c>
    </row>
    <row r="99" spans="1:4">
      <c r="A99" s="48">
        <v>46154</v>
      </c>
      <c r="B99" s="6" t="s">
        <v>610</v>
      </c>
      <c r="C99" s="31">
        <v>8.31</v>
      </c>
      <c r="D99" s="18" t="s">
        <v>590</v>
      </c>
    </row>
    <row r="100" spans="1:4">
      <c r="A100" s="48">
        <v>46155</v>
      </c>
      <c r="B100" s="6" t="s">
        <v>7</v>
      </c>
      <c r="C100" s="31">
        <v>2215.4899999999998</v>
      </c>
      <c r="D100" s="18" t="s">
        <v>590</v>
      </c>
    </row>
    <row r="101" spans="1:4">
      <c r="A101" s="16">
        <v>46155</v>
      </c>
      <c r="B101" s="6" t="s">
        <v>612</v>
      </c>
      <c r="C101" s="31">
        <v>10189.08</v>
      </c>
      <c r="D101" s="18" t="s">
        <v>590</v>
      </c>
    </row>
    <row r="102" spans="1:4">
      <c r="A102" s="16">
        <v>46155</v>
      </c>
      <c r="B102" s="6" t="s">
        <v>612</v>
      </c>
      <c r="C102" s="31">
        <v>4500</v>
      </c>
      <c r="D102" s="18" t="s">
        <v>590</v>
      </c>
    </row>
    <row r="103" spans="1:4">
      <c r="A103" s="16">
        <v>46155</v>
      </c>
      <c r="B103" s="6" t="s">
        <v>612</v>
      </c>
      <c r="C103" s="31">
        <v>3838.5</v>
      </c>
      <c r="D103" s="18" t="s">
        <v>590</v>
      </c>
    </row>
    <row r="104" spans="1:4">
      <c r="A104" s="16">
        <v>46155</v>
      </c>
      <c r="B104" s="6" t="s">
        <v>7</v>
      </c>
      <c r="C104" s="31">
        <v>1069.4100000000001</v>
      </c>
      <c r="D104" s="18" t="s">
        <v>590</v>
      </c>
    </row>
    <row r="105" spans="1:4">
      <c r="A105" s="16">
        <v>46155</v>
      </c>
      <c r="B105" s="8" t="s">
        <v>605</v>
      </c>
      <c r="C105" s="31">
        <v>200</v>
      </c>
      <c r="D105" s="18" t="s">
        <v>590</v>
      </c>
    </row>
    <row r="106" spans="1:4">
      <c r="A106" s="16">
        <v>46155</v>
      </c>
      <c r="B106" s="8" t="s">
        <v>605</v>
      </c>
      <c r="C106" s="31">
        <v>600</v>
      </c>
      <c r="D106" s="18" t="s">
        <v>590</v>
      </c>
    </row>
    <row r="107" spans="1:4">
      <c r="A107" s="16">
        <v>46155</v>
      </c>
      <c r="B107" s="8" t="s">
        <v>605</v>
      </c>
      <c r="C107" s="31">
        <v>50</v>
      </c>
      <c r="D107" s="18" t="s">
        <v>590</v>
      </c>
    </row>
    <row r="108" spans="1:4">
      <c r="A108" s="16">
        <v>46155</v>
      </c>
      <c r="B108" s="6" t="s">
        <v>610</v>
      </c>
      <c r="C108" s="31">
        <v>2.77</v>
      </c>
      <c r="D108" s="18" t="s">
        <v>589</v>
      </c>
    </row>
    <row r="109" spans="1:4">
      <c r="A109" s="16">
        <v>46155</v>
      </c>
      <c r="B109" s="6" t="s">
        <v>610</v>
      </c>
      <c r="C109" s="31">
        <v>1.57</v>
      </c>
      <c r="D109" s="18" t="s">
        <v>590</v>
      </c>
    </row>
    <row r="110" spans="1:4">
      <c r="A110" s="16">
        <v>46155</v>
      </c>
      <c r="B110" s="6" t="s">
        <v>610</v>
      </c>
      <c r="C110" s="31">
        <v>5.54</v>
      </c>
      <c r="D110" s="18" t="s">
        <v>590</v>
      </c>
    </row>
    <row r="111" spans="1:4">
      <c r="A111" s="16">
        <v>46156</v>
      </c>
      <c r="B111" s="6" t="s">
        <v>610</v>
      </c>
      <c r="C111" s="31">
        <v>3.64</v>
      </c>
      <c r="D111" s="18" t="s">
        <v>590</v>
      </c>
    </row>
    <row r="112" spans="1:4">
      <c r="A112" s="16">
        <v>46156</v>
      </c>
      <c r="B112" s="6" t="s">
        <v>612</v>
      </c>
      <c r="C112" s="31">
        <v>3000</v>
      </c>
      <c r="D112" s="18" t="s">
        <v>590</v>
      </c>
    </row>
    <row r="113" spans="1:4">
      <c r="A113" s="48">
        <v>46156</v>
      </c>
      <c r="B113" s="8" t="s">
        <v>605</v>
      </c>
      <c r="C113" s="31">
        <v>996.01</v>
      </c>
      <c r="D113" s="11" t="s">
        <v>590</v>
      </c>
    </row>
    <row r="114" spans="1:4">
      <c r="A114" s="49">
        <v>46156</v>
      </c>
      <c r="B114" s="8" t="s">
        <v>605</v>
      </c>
      <c r="C114" s="31">
        <v>3726.34</v>
      </c>
      <c r="D114" s="11" t="s">
        <v>590</v>
      </c>
    </row>
    <row r="115" spans="1:4">
      <c r="A115" s="49">
        <v>46156</v>
      </c>
      <c r="B115" s="6" t="s">
        <v>612</v>
      </c>
      <c r="C115" s="31">
        <v>3600</v>
      </c>
      <c r="D115" s="11" t="s">
        <v>590</v>
      </c>
    </row>
    <row r="116" spans="1:4">
      <c r="A116" s="49">
        <v>46156</v>
      </c>
      <c r="B116" s="6" t="s">
        <v>612</v>
      </c>
      <c r="C116" s="31">
        <v>2650</v>
      </c>
      <c r="D116" s="11" t="s">
        <v>590</v>
      </c>
    </row>
    <row r="117" spans="1:4">
      <c r="A117" s="49">
        <v>46156</v>
      </c>
      <c r="B117" s="6" t="s">
        <v>610</v>
      </c>
      <c r="C117" s="31">
        <v>5.54</v>
      </c>
      <c r="D117" s="11" t="s">
        <v>589</v>
      </c>
    </row>
    <row r="118" spans="1:4">
      <c r="A118" s="49">
        <v>46156</v>
      </c>
      <c r="B118" s="6" t="s">
        <v>610</v>
      </c>
      <c r="C118" s="31">
        <v>145.26</v>
      </c>
      <c r="D118" s="11" t="s">
        <v>590</v>
      </c>
    </row>
    <row r="119" spans="1:4">
      <c r="A119" s="49">
        <v>46156</v>
      </c>
      <c r="B119" s="6" t="s">
        <v>610</v>
      </c>
      <c r="C119" s="31">
        <v>8.31</v>
      </c>
      <c r="D119" s="11" t="s">
        <v>590</v>
      </c>
    </row>
    <row r="120" spans="1:4">
      <c r="A120" s="49">
        <v>46156</v>
      </c>
      <c r="B120" s="8" t="s">
        <v>605</v>
      </c>
      <c r="C120" s="31">
        <v>586</v>
      </c>
      <c r="D120" s="11" t="s">
        <v>590</v>
      </c>
    </row>
    <row r="121" spans="1:4">
      <c r="A121" s="49">
        <v>46157</v>
      </c>
      <c r="B121" s="11" t="s">
        <v>611</v>
      </c>
      <c r="C121" s="31">
        <v>600</v>
      </c>
      <c r="D121" s="11" t="s">
        <v>590</v>
      </c>
    </row>
    <row r="122" spans="1:4">
      <c r="A122" s="21">
        <v>46157</v>
      </c>
      <c r="B122" s="6" t="s">
        <v>613</v>
      </c>
      <c r="C122" s="22">
        <v>150</v>
      </c>
      <c r="D122" s="18" t="s">
        <v>590</v>
      </c>
    </row>
    <row r="123" spans="1:4">
      <c r="A123" s="21">
        <v>46157</v>
      </c>
      <c r="B123" s="6" t="s">
        <v>613</v>
      </c>
      <c r="C123" s="22">
        <v>320</v>
      </c>
      <c r="D123" s="18" t="s">
        <v>590</v>
      </c>
    </row>
    <row r="124" spans="1:4">
      <c r="A124" s="21">
        <v>46157</v>
      </c>
      <c r="B124" s="6" t="s">
        <v>613</v>
      </c>
      <c r="C124" s="22">
        <v>320</v>
      </c>
      <c r="D124" s="18" t="s">
        <v>590</v>
      </c>
    </row>
    <row r="125" spans="1:4">
      <c r="A125" s="21">
        <v>46157</v>
      </c>
      <c r="B125" s="11" t="s">
        <v>611</v>
      </c>
      <c r="C125" s="22">
        <v>640</v>
      </c>
      <c r="D125" s="18" t="s">
        <v>590</v>
      </c>
    </row>
    <row r="126" spans="1:4">
      <c r="A126" s="21">
        <v>46157</v>
      </c>
      <c r="B126" s="8" t="s">
        <v>605</v>
      </c>
      <c r="C126" s="31">
        <v>550</v>
      </c>
      <c r="D126" s="11" t="s">
        <v>590</v>
      </c>
    </row>
    <row r="127" spans="1:4">
      <c r="A127" s="21">
        <v>46157</v>
      </c>
      <c r="B127" s="6" t="s">
        <v>610</v>
      </c>
      <c r="C127" s="31">
        <v>8.6</v>
      </c>
      <c r="D127" s="11" t="s">
        <v>589</v>
      </c>
    </row>
    <row r="128" spans="1:4">
      <c r="A128" s="21">
        <v>46157</v>
      </c>
      <c r="B128" s="6" t="s">
        <v>610</v>
      </c>
      <c r="C128" s="31">
        <v>2.33</v>
      </c>
      <c r="D128" s="11" t="s">
        <v>590</v>
      </c>
    </row>
    <row r="129" spans="1:4">
      <c r="A129" s="21">
        <v>46157</v>
      </c>
      <c r="B129" s="6" t="s">
        <v>610</v>
      </c>
      <c r="C129" s="31">
        <v>12.76</v>
      </c>
      <c r="D129" s="11" t="s">
        <v>590</v>
      </c>
    </row>
    <row r="130" spans="1:4">
      <c r="A130" s="21">
        <v>46157</v>
      </c>
      <c r="B130" s="6" t="s">
        <v>610</v>
      </c>
      <c r="C130" s="31">
        <v>5.54</v>
      </c>
      <c r="D130" s="11" t="s">
        <v>590</v>
      </c>
    </row>
    <row r="131" spans="1:4">
      <c r="A131" s="21">
        <v>46157</v>
      </c>
      <c r="B131" s="8" t="s">
        <v>605</v>
      </c>
      <c r="C131" s="33">
        <v>644</v>
      </c>
      <c r="D131" s="11" t="s">
        <v>589</v>
      </c>
    </row>
    <row r="132" spans="1:4">
      <c r="A132" s="49">
        <v>46160</v>
      </c>
      <c r="B132" s="6" t="s">
        <v>606</v>
      </c>
      <c r="C132" s="22">
        <v>55.56</v>
      </c>
      <c r="D132" s="18" t="s">
        <v>589</v>
      </c>
    </row>
    <row r="133" spans="1:4">
      <c r="A133" s="48">
        <v>46160</v>
      </c>
      <c r="B133" s="23" t="s">
        <v>278</v>
      </c>
      <c r="C133" s="31">
        <v>77.47</v>
      </c>
      <c r="D133" s="34" t="s">
        <v>590</v>
      </c>
    </row>
    <row r="134" spans="1:4">
      <c r="A134" s="48">
        <v>46160</v>
      </c>
      <c r="B134" s="6" t="s">
        <v>612</v>
      </c>
      <c r="C134" s="31">
        <v>4500</v>
      </c>
      <c r="D134" s="11" t="s">
        <v>590</v>
      </c>
    </row>
    <row r="135" spans="1:4">
      <c r="A135" s="16">
        <v>46160</v>
      </c>
      <c r="B135" s="6" t="s">
        <v>610</v>
      </c>
      <c r="C135" s="31">
        <v>2.77</v>
      </c>
      <c r="D135" s="18" t="s">
        <v>589</v>
      </c>
    </row>
    <row r="136" spans="1:4">
      <c r="A136" s="16">
        <v>46160</v>
      </c>
      <c r="B136" s="6" t="s">
        <v>610</v>
      </c>
      <c r="C136" s="31">
        <v>0.37</v>
      </c>
      <c r="D136" s="18" t="s">
        <v>590</v>
      </c>
    </row>
    <row r="137" spans="1:4">
      <c r="A137" s="16">
        <v>46160</v>
      </c>
      <c r="B137" s="6" t="s">
        <v>610</v>
      </c>
      <c r="C137" s="31">
        <v>11.08</v>
      </c>
      <c r="D137" s="18" t="s">
        <v>590</v>
      </c>
    </row>
    <row r="138" spans="1:4">
      <c r="A138" s="21">
        <v>46160</v>
      </c>
      <c r="B138" s="6" t="s">
        <v>612</v>
      </c>
      <c r="C138" s="31">
        <v>5931</v>
      </c>
      <c r="D138" s="18" t="s">
        <v>590</v>
      </c>
    </row>
    <row r="139" spans="1:4">
      <c r="A139" s="21">
        <v>46160</v>
      </c>
      <c r="B139" s="6" t="s">
        <v>612</v>
      </c>
      <c r="C139" s="31">
        <v>4500</v>
      </c>
      <c r="D139" s="18" t="s">
        <v>590</v>
      </c>
    </row>
    <row r="140" spans="1:4">
      <c r="A140" s="21">
        <v>46160</v>
      </c>
      <c r="B140" s="6" t="s">
        <v>612</v>
      </c>
      <c r="C140" s="31">
        <v>3377.4</v>
      </c>
      <c r="D140" s="18" t="s">
        <v>590</v>
      </c>
    </row>
    <row r="141" spans="1:4">
      <c r="A141" s="21">
        <v>46160</v>
      </c>
      <c r="B141" s="8" t="s">
        <v>605</v>
      </c>
      <c r="C141" s="31">
        <v>2202.94</v>
      </c>
      <c r="D141" s="18" t="s">
        <v>589</v>
      </c>
    </row>
    <row r="142" spans="1:4">
      <c r="A142" s="21">
        <v>46160</v>
      </c>
      <c r="B142" s="8" t="s">
        <v>605</v>
      </c>
      <c r="C142" s="31">
        <v>2560.62</v>
      </c>
      <c r="D142" s="18" t="s">
        <v>589</v>
      </c>
    </row>
    <row r="143" spans="1:4">
      <c r="A143" s="21">
        <v>46160</v>
      </c>
      <c r="B143" s="8" t="s">
        <v>605</v>
      </c>
      <c r="C143" s="31">
        <v>490.02</v>
      </c>
      <c r="D143" s="18" t="s">
        <v>589</v>
      </c>
    </row>
    <row r="144" spans="1:4">
      <c r="A144" s="21">
        <v>46160</v>
      </c>
      <c r="B144" s="8" t="s">
        <v>605</v>
      </c>
      <c r="C144" s="31">
        <v>20</v>
      </c>
      <c r="D144" s="18" t="s">
        <v>589</v>
      </c>
    </row>
    <row r="145" spans="1:4">
      <c r="A145" s="16">
        <v>46161</v>
      </c>
      <c r="B145" s="6" t="s">
        <v>7</v>
      </c>
      <c r="C145" s="31">
        <v>1883.55</v>
      </c>
      <c r="D145" s="18" t="s">
        <v>590</v>
      </c>
    </row>
    <row r="146" spans="1:4">
      <c r="A146" s="21">
        <v>46161</v>
      </c>
      <c r="B146" s="8" t="s">
        <v>605</v>
      </c>
      <c r="C146" s="31">
        <v>1027.5</v>
      </c>
      <c r="D146" s="18" t="s">
        <v>590</v>
      </c>
    </row>
    <row r="147" spans="1:4" ht="17.25" customHeight="1">
      <c r="A147" s="21">
        <v>46161</v>
      </c>
      <c r="B147" s="6" t="s">
        <v>612</v>
      </c>
      <c r="C147" s="31">
        <v>2650</v>
      </c>
      <c r="D147" s="18" t="s">
        <v>590</v>
      </c>
    </row>
    <row r="148" spans="1:4">
      <c r="A148" s="21">
        <v>46162</v>
      </c>
      <c r="B148" s="6" t="s">
        <v>612</v>
      </c>
      <c r="C148" s="31">
        <v>3600</v>
      </c>
      <c r="D148" s="18" t="s">
        <v>590</v>
      </c>
    </row>
    <row r="149" spans="1:4">
      <c r="A149" s="21">
        <v>46162</v>
      </c>
      <c r="B149" s="6" t="s">
        <v>612</v>
      </c>
      <c r="C149" s="31">
        <v>5704</v>
      </c>
      <c r="D149" s="18" t="s">
        <v>590</v>
      </c>
    </row>
    <row r="150" spans="1:4">
      <c r="A150" s="21">
        <v>46162</v>
      </c>
      <c r="B150" s="8" t="s">
        <v>605</v>
      </c>
      <c r="C150" s="31">
        <v>120</v>
      </c>
      <c r="D150" s="18" t="s">
        <v>590</v>
      </c>
    </row>
    <row r="151" spans="1:4">
      <c r="A151" s="21">
        <v>46163</v>
      </c>
      <c r="B151" s="6" t="s">
        <v>612</v>
      </c>
      <c r="C151" s="22">
        <v>4680</v>
      </c>
      <c r="D151" s="18" t="s">
        <v>590</v>
      </c>
    </row>
    <row r="152" spans="1:4">
      <c r="A152" s="21">
        <v>46163</v>
      </c>
      <c r="B152" s="6" t="s">
        <v>612</v>
      </c>
      <c r="C152" s="22">
        <v>1000</v>
      </c>
      <c r="D152" s="18" t="s">
        <v>590</v>
      </c>
    </row>
    <row r="153" spans="1:4">
      <c r="A153" s="21">
        <v>46163</v>
      </c>
      <c r="B153" s="11" t="s">
        <v>611</v>
      </c>
      <c r="C153" s="22">
        <v>749.65</v>
      </c>
      <c r="D153" s="18" t="s">
        <v>590</v>
      </c>
    </row>
    <row r="154" spans="1:4">
      <c r="A154" s="21">
        <v>46163</v>
      </c>
      <c r="B154" s="6" t="s">
        <v>7</v>
      </c>
      <c r="C154" s="22">
        <v>888.02</v>
      </c>
      <c r="D154" s="18" t="s">
        <v>590</v>
      </c>
    </row>
    <row r="155" spans="1:4">
      <c r="A155" s="21">
        <v>46163</v>
      </c>
      <c r="B155" s="8" t="s">
        <v>605</v>
      </c>
      <c r="C155" s="31">
        <v>892.58</v>
      </c>
      <c r="D155" s="18" t="s">
        <v>589</v>
      </c>
    </row>
    <row r="156" spans="1:4">
      <c r="A156" s="21">
        <v>46163</v>
      </c>
      <c r="B156" s="8" t="s">
        <v>605</v>
      </c>
      <c r="C156" s="31">
        <v>1027.5</v>
      </c>
      <c r="D156" s="18" t="s">
        <v>589</v>
      </c>
    </row>
    <row r="157" spans="1:4">
      <c r="A157" s="21">
        <v>46163</v>
      </c>
      <c r="B157" s="6" t="s">
        <v>612</v>
      </c>
      <c r="C157" s="31">
        <v>4500</v>
      </c>
      <c r="D157" s="18" t="s">
        <v>590</v>
      </c>
    </row>
    <row r="158" spans="1:4">
      <c r="A158" s="16">
        <v>46164</v>
      </c>
      <c r="B158" s="11" t="s">
        <v>611</v>
      </c>
      <c r="C158" s="31">
        <v>640.74</v>
      </c>
      <c r="D158" s="18" t="s">
        <v>590</v>
      </c>
    </row>
    <row r="159" spans="1:4">
      <c r="A159" s="16">
        <v>46164</v>
      </c>
      <c r="B159" s="6" t="s">
        <v>613</v>
      </c>
      <c r="C159" s="31">
        <v>320</v>
      </c>
      <c r="D159" s="18" t="s">
        <v>590</v>
      </c>
    </row>
    <row r="160" spans="1:4">
      <c r="A160" s="16">
        <v>46164</v>
      </c>
      <c r="B160" s="6" t="s">
        <v>160</v>
      </c>
      <c r="C160" s="31">
        <v>220</v>
      </c>
      <c r="D160" s="18" t="s">
        <v>590</v>
      </c>
    </row>
    <row r="161" spans="1:4">
      <c r="A161" s="16">
        <v>46164</v>
      </c>
      <c r="B161" s="6" t="s">
        <v>613</v>
      </c>
      <c r="C161" s="31">
        <v>256</v>
      </c>
      <c r="D161" s="18" t="s">
        <v>590</v>
      </c>
    </row>
    <row r="162" spans="1:4">
      <c r="A162" s="16">
        <v>46164</v>
      </c>
      <c r="B162" s="6" t="s">
        <v>613</v>
      </c>
      <c r="C162" s="31">
        <v>150</v>
      </c>
      <c r="D162" s="18" t="s">
        <v>590</v>
      </c>
    </row>
    <row r="163" spans="1:4">
      <c r="A163" s="16">
        <v>46164</v>
      </c>
      <c r="B163" s="6" t="s">
        <v>608</v>
      </c>
      <c r="C163" s="31">
        <v>472.87</v>
      </c>
      <c r="D163" s="18" t="s">
        <v>590</v>
      </c>
    </row>
    <row r="164" spans="1:4">
      <c r="A164" s="16">
        <v>46167</v>
      </c>
      <c r="B164" s="6" t="s">
        <v>7</v>
      </c>
      <c r="C164" s="22">
        <v>1223.42</v>
      </c>
      <c r="D164" s="18" t="s">
        <v>590</v>
      </c>
    </row>
    <row r="165" spans="1:4">
      <c r="A165" s="16">
        <v>46167</v>
      </c>
      <c r="B165" s="6" t="s">
        <v>608</v>
      </c>
      <c r="C165" s="22">
        <v>6676.65</v>
      </c>
      <c r="D165" s="18" t="s">
        <v>589</v>
      </c>
    </row>
    <row r="166" spans="1:4">
      <c r="A166" s="16">
        <v>46167</v>
      </c>
      <c r="B166" s="8" t="s">
        <v>605</v>
      </c>
      <c r="C166" s="31">
        <v>261.08999999999997</v>
      </c>
      <c r="D166" s="18" t="s">
        <v>590</v>
      </c>
    </row>
    <row r="167" spans="1:4">
      <c r="A167" s="16">
        <v>46167</v>
      </c>
      <c r="B167" s="8" t="s">
        <v>605</v>
      </c>
      <c r="C167" s="31">
        <v>500.03</v>
      </c>
      <c r="D167" s="18" t="s">
        <v>590</v>
      </c>
    </row>
    <row r="168" spans="1:4">
      <c r="A168" s="16">
        <v>46167</v>
      </c>
      <c r="B168" s="8" t="s">
        <v>605</v>
      </c>
      <c r="C168" s="31">
        <v>1155.8499999999999</v>
      </c>
      <c r="D168" s="18" t="s">
        <v>590</v>
      </c>
    </row>
    <row r="169" spans="1:4">
      <c r="A169" s="16">
        <v>46167</v>
      </c>
      <c r="B169" s="6" t="s">
        <v>612</v>
      </c>
      <c r="C169" s="22">
        <v>5000</v>
      </c>
      <c r="D169" s="18" t="s">
        <v>590</v>
      </c>
    </row>
    <row r="170" spans="1:4">
      <c r="A170" s="16">
        <v>46167</v>
      </c>
      <c r="B170" s="6" t="s">
        <v>612</v>
      </c>
      <c r="C170" s="22">
        <v>4500</v>
      </c>
      <c r="D170" s="18" t="s">
        <v>590</v>
      </c>
    </row>
    <row r="171" spans="1:4">
      <c r="A171" s="16">
        <v>46167</v>
      </c>
      <c r="B171" s="8" t="s">
        <v>605</v>
      </c>
      <c r="C171" s="22">
        <v>50</v>
      </c>
      <c r="D171" s="18" t="s">
        <v>590</v>
      </c>
    </row>
    <row r="172" spans="1:4">
      <c r="A172" s="10">
        <v>46168</v>
      </c>
      <c r="B172" s="6" t="s">
        <v>7</v>
      </c>
      <c r="C172" s="22">
        <v>1110.04</v>
      </c>
      <c r="D172" s="18" t="s">
        <v>590</v>
      </c>
    </row>
    <row r="173" spans="1:4">
      <c r="A173" s="10">
        <v>46168</v>
      </c>
      <c r="B173" s="6" t="s">
        <v>7</v>
      </c>
      <c r="C173" s="22">
        <v>1934.35</v>
      </c>
      <c r="D173" s="18" t="s">
        <v>590</v>
      </c>
    </row>
    <row r="174" spans="1:4">
      <c r="A174" s="10">
        <v>46168</v>
      </c>
      <c r="B174" s="6" t="s">
        <v>612</v>
      </c>
      <c r="C174" s="31">
        <v>7431.1</v>
      </c>
      <c r="D174" s="18" t="s">
        <v>590</v>
      </c>
    </row>
    <row r="175" spans="1:4">
      <c r="A175" s="10">
        <v>46168</v>
      </c>
      <c r="B175" s="6" t="s">
        <v>612</v>
      </c>
      <c r="C175" s="31">
        <v>5000</v>
      </c>
      <c r="D175" s="18" t="s">
        <v>590</v>
      </c>
    </row>
    <row r="176" spans="1:4">
      <c r="A176" s="10">
        <v>46168</v>
      </c>
      <c r="B176" s="6" t="s">
        <v>612</v>
      </c>
      <c r="C176" s="31">
        <v>3689.5</v>
      </c>
      <c r="D176" s="18" t="s">
        <v>590</v>
      </c>
    </row>
    <row r="177" spans="1:4">
      <c r="A177" s="10">
        <v>46168</v>
      </c>
      <c r="B177" s="6" t="s">
        <v>612</v>
      </c>
      <c r="C177" s="31">
        <v>2650</v>
      </c>
      <c r="D177" s="18" t="s">
        <v>590</v>
      </c>
    </row>
    <row r="178" spans="1:4">
      <c r="A178" s="10">
        <v>46168</v>
      </c>
      <c r="B178" s="6" t="s">
        <v>612</v>
      </c>
      <c r="C178" s="31">
        <v>10584</v>
      </c>
      <c r="D178" s="18" t="s">
        <v>590</v>
      </c>
    </row>
    <row r="179" spans="1:4">
      <c r="A179" s="10">
        <v>46168</v>
      </c>
      <c r="B179" s="8" t="s">
        <v>605</v>
      </c>
      <c r="C179" s="31">
        <v>515</v>
      </c>
      <c r="D179" s="34" t="s">
        <v>590</v>
      </c>
    </row>
    <row r="180" spans="1:4" ht="17.25" customHeight="1">
      <c r="A180" s="10">
        <v>46168</v>
      </c>
      <c r="B180" s="8" t="s">
        <v>605</v>
      </c>
      <c r="C180" s="22">
        <v>314.23</v>
      </c>
      <c r="D180" s="18" t="s">
        <v>590</v>
      </c>
    </row>
    <row r="181" spans="1:4" ht="17.25" customHeight="1">
      <c r="A181" s="10">
        <v>46168</v>
      </c>
      <c r="B181" s="6" t="s">
        <v>606</v>
      </c>
      <c r="C181" s="22">
        <v>30.69</v>
      </c>
      <c r="D181" s="18" t="s">
        <v>589</v>
      </c>
    </row>
    <row r="182" spans="1:4" ht="25.5" customHeight="1">
      <c r="A182" s="10">
        <v>46169</v>
      </c>
      <c r="B182" s="6" t="s">
        <v>7</v>
      </c>
      <c r="C182" s="31">
        <v>1294.17</v>
      </c>
      <c r="D182" s="18" t="s">
        <v>590</v>
      </c>
    </row>
    <row r="183" spans="1:4" ht="25.5" customHeight="1">
      <c r="A183" s="10">
        <v>46169</v>
      </c>
      <c r="B183" s="11" t="s">
        <v>611</v>
      </c>
      <c r="C183" s="31">
        <v>600</v>
      </c>
      <c r="D183" s="18" t="s">
        <v>590</v>
      </c>
    </row>
    <row r="184" spans="1:4">
      <c r="A184" s="10">
        <v>46169</v>
      </c>
      <c r="B184" s="11" t="s">
        <v>611</v>
      </c>
      <c r="C184" s="31">
        <v>153.54</v>
      </c>
      <c r="D184" s="18" t="s">
        <v>590</v>
      </c>
    </row>
    <row r="185" spans="1:4">
      <c r="A185" s="10">
        <v>46169</v>
      </c>
      <c r="B185" s="6" t="s">
        <v>612</v>
      </c>
      <c r="C185" s="31">
        <v>5000</v>
      </c>
      <c r="D185" s="18" t="s">
        <v>590</v>
      </c>
    </row>
    <row r="186" spans="1:4">
      <c r="A186" s="10">
        <v>46169</v>
      </c>
      <c r="B186" s="6" t="s">
        <v>612</v>
      </c>
      <c r="C186" s="32">
        <v>4686</v>
      </c>
      <c r="D186" s="18" t="s">
        <v>590</v>
      </c>
    </row>
    <row r="187" spans="1:4">
      <c r="A187" s="16">
        <v>46170</v>
      </c>
      <c r="B187" s="6" t="s">
        <v>7</v>
      </c>
      <c r="C187" s="31">
        <v>1115.73</v>
      </c>
      <c r="D187" s="18" t="s">
        <v>590</v>
      </c>
    </row>
    <row r="195" spans="3:3">
      <c r="C195" s="2"/>
    </row>
    <row r="256" spans="1:3">
      <c r="A256"/>
      <c r="C256" s="2"/>
    </row>
    <row r="257" spans="1:3">
      <c r="A257"/>
      <c r="C257" s="2"/>
    </row>
    <row r="258" spans="1:3" ht="22.5" customHeight="1">
      <c r="A258"/>
      <c r="C258" s="2"/>
    </row>
    <row r="259" spans="1:3">
      <c r="A259"/>
      <c r="C259" s="2"/>
    </row>
    <row r="260" spans="1:3">
      <c r="A260"/>
      <c r="C260" s="2"/>
    </row>
  </sheetData>
  <mergeCells count="2">
    <mergeCell ref="A1:D1"/>
    <mergeCell ref="A2:D2"/>
  </mergeCells>
  <pageMargins left="0.23622047244094491" right="0.15748031496062992" top="0.74803149606299213" bottom="0.74803149606299213" header="0.31496062992125984" footer="0.31496062992125984"/>
  <pageSetup paperSize="9" scale="95" fitToHeight="0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selection activeCell="H16" sqref="H16"/>
    </sheetView>
  </sheetViews>
  <sheetFormatPr defaultRowHeight="14.4"/>
  <cols>
    <col min="1" max="1" width="11.109375" style="28" customWidth="1"/>
    <col min="2" max="2" width="28.109375" bestFit="1" customWidth="1"/>
    <col min="3" max="3" width="13.88671875" style="30" customWidth="1"/>
    <col min="4" max="4" width="13.44140625" customWidth="1"/>
    <col min="6" max="6" width="13.109375" bestFit="1" customWidth="1"/>
  </cols>
  <sheetData>
    <row r="1" spans="1:6">
      <c r="A1" s="76"/>
      <c r="B1" s="76"/>
      <c r="C1" s="76"/>
      <c r="D1" s="76"/>
    </row>
    <row r="2" spans="1:6" ht="15" thickBot="1">
      <c r="A2" s="77"/>
      <c r="B2" s="77"/>
      <c r="C2" s="77"/>
      <c r="D2" s="77"/>
    </row>
    <row r="3" spans="1:6">
      <c r="A3" s="27" t="s">
        <v>0</v>
      </c>
      <c r="B3" s="3" t="s">
        <v>1</v>
      </c>
      <c r="C3" s="29" t="s">
        <v>2</v>
      </c>
      <c r="D3" s="19" t="s">
        <v>5</v>
      </c>
    </row>
    <row r="4" spans="1:6" ht="15" thickBot="1">
      <c r="A4" s="40">
        <v>46154</v>
      </c>
      <c r="B4" s="24" t="s">
        <v>614</v>
      </c>
      <c r="C4" s="41">
        <v>3000</v>
      </c>
      <c r="D4" s="24" t="s">
        <v>590</v>
      </c>
      <c r="F4" s="45">
        <f>SUM(C4:C11)</f>
        <v>15855.189999999999</v>
      </c>
    </row>
    <row r="5" spans="1:6">
      <c r="A5" s="40">
        <v>46156</v>
      </c>
      <c r="B5" s="24" t="s">
        <v>615</v>
      </c>
      <c r="C5" s="41">
        <v>316.83</v>
      </c>
      <c r="D5" s="24" t="s">
        <v>591</v>
      </c>
    </row>
    <row r="6" spans="1:6">
      <c r="A6" s="40">
        <v>46156</v>
      </c>
      <c r="B6" s="24" t="s">
        <v>616</v>
      </c>
      <c r="C6" s="41">
        <v>71.72</v>
      </c>
      <c r="D6" s="24" t="s">
        <v>591</v>
      </c>
    </row>
    <row r="7" spans="1:6">
      <c r="A7" s="40">
        <v>46156</v>
      </c>
      <c r="B7" s="24" t="s">
        <v>619</v>
      </c>
      <c r="C7" s="41">
        <v>4500</v>
      </c>
      <c r="D7" s="24" t="s">
        <v>591</v>
      </c>
    </row>
    <row r="8" spans="1:6">
      <c r="A8" s="40">
        <v>46160</v>
      </c>
      <c r="B8" s="24" t="s">
        <v>617</v>
      </c>
      <c r="C8" s="41">
        <v>106.64</v>
      </c>
      <c r="D8" s="24" t="s">
        <v>591</v>
      </c>
    </row>
    <row r="9" spans="1:6">
      <c r="A9" s="16">
        <v>46160</v>
      </c>
      <c r="B9" s="6" t="s">
        <v>618</v>
      </c>
      <c r="C9" s="31">
        <v>3500</v>
      </c>
      <c r="D9" s="24" t="s">
        <v>591</v>
      </c>
    </row>
    <row r="10" spans="1:6">
      <c r="A10" s="40">
        <v>46162</v>
      </c>
      <c r="B10" s="24" t="s">
        <v>620</v>
      </c>
      <c r="C10" s="41">
        <v>560</v>
      </c>
      <c r="D10" s="24" t="s">
        <v>589</v>
      </c>
    </row>
    <row r="11" spans="1:6">
      <c r="A11" s="16">
        <v>46156</v>
      </c>
      <c r="B11" s="6" t="s">
        <v>605</v>
      </c>
      <c r="C11" s="31">
        <v>3800</v>
      </c>
      <c r="D11" s="18" t="s">
        <v>589</v>
      </c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3307-FDEC-4B3C-BE2C-97DE5FCA4E88}">
  <dimension ref="B1:M9"/>
  <sheetViews>
    <sheetView showGridLines="0" tabSelected="1" workbookViewId="0">
      <selection activeCell="P16" sqref="P16"/>
    </sheetView>
  </sheetViews>
  <sheetFormatPr defaultRowHeight="14.4"/>
  <cols>
    <col min="3" max="3" width="14" bestFit="1" customWidth="1"/>
    <col min="9" max="9" width="12.88671875" bestFit="1" customWidth="1"/>
    <col min="10" max="10" width="12.21875" bestFit="1" customWidth="1"/>
    <col min="13" max="13" width="7" customWidth="1"/>
  </cols>
  <sheetData>
    <row r="1" spans="2:13" ht="14.4" customHeight="1">
      <c r="B1" s="67" t="s">
        <v>594</v>
      </c>
      <c r="C1" s="67"/>
      <c r="D1" s="67"/>
      <c r="E1" s="67"/>
      <c r="M1" s="50"/>
    </row>
    <row r="2" spans="2:13" ht="14.4" customHeight="1">
      <c r="B2" s="67"/>
      <c r="C2" s="67"/>
      <c r="D2" s="67"/>
      <c r="E2" s="67"/>
      <c r="I2" s="69" t="s">
        <v>595</v>
      </c>
      <c r="J2" s="70"/>
      <c r="K2" s="60"/>
      <c r="M2" s="50"/>
    </row>
    <row r="3" spans="2:13" ht="14.4" customHeight="1">
      <c r="B3" s="68">
        <f>SUM('DESPESAS - MATRIZ'!C:C)</f>
        <v>265867.87</v>
      </c>
      <c r="C3" s="68"/>
      <c r="D3" s="68"/>
      <c r="E3" s="68"/>
      <c r="I3" s="71">
        <v>377</v>
      </c>
      <c r="J3" s="72"/>
      <c r="K3" s="61"/>
      <c r="M3" s="51"/>
    </row>
    <row r="4" spans="2:13" ht="15" customHeight="1">
      <c r="B4" s="68"/>
      <c r="C4" s="68"/>
      <c r="D4" s="68"/>
      <c r="E4" s="68"/>
      <c r="I4" s="51"/>
      <c r="M4" s="51"/>
    </row>
    <row r="5" spans="2:13">
      <c r="I5" s="63" t="s">
        <v>600</v>
      </c>
      <c r="J5" s="64"/>
      <c r="K5" s="61"/>
    </row>
    <row r="6" spans="2:13">
      <c r="I6" s="73">
        <f>MAX(BASE[DESPESAS])</f>
        <v>30310.799999999999</v>
      </c>
      <c r="J6" s="74"/>
      <c r="K6" s="60"/>
    </row>
    <row r="8" spans="2:13">
      <c r="I8" s="63" t="s">
        <v>604</v>
      </c>
      <c r="J8" s="64"/>
      <c r="K8" s="61"/>
    </row>
    <row r="9" spans="2:13">
      <c r="I9" s="65">
        <f>AVERAGE(BASE[DESPESAS])</f>
        <v>2455.1866312997331</v>
      </c>
      <c r="J9" s="66"/>
      <c r="K9" s="62"/>
    </row>
  </sheetData>
  <mergeCells count="8">
    <mergeCell ref="I8:J8"/>
    <mergeCell ref="I9:J9"/>
    <mergeCell ref="B1:E2"/>
    <mergeCell ref="B3:E4"/>
    <mergeCell ref="I2:J2"/>
    <mergeCell ref="I3:J3"/>
    <mergeCell ref="I5:J5"/>
    <mergeCell ref="I6:J6"/>
  </mergeCells>
  <pageMargins left="0.25" right="0.25" top="0.75" bottom="0.75" header="0.3" footer="0.3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1F4D-2E90-488F-8C14-7FDA98DB0CC6}">
  <dimension ref="A3:B6"/>
  <sheetViews>
    <sheetView workbookViewId="0">
      <selection activeCell="E5" sqref="E5"/>
    </sheetView>
  </sheetViews>
  <sheetFormatPr defaultRowHeight="14.4"/>
  <cols>
    <col min="1" max="1" width="17.21875" bestFit="1" customWidth="1"/>
    <col min="2" max="2" width="17.5546875" bestFit="1" customWidth="1"/>
  </cols>
  <sheetData>
    <row r="3" spans="1:2">
      <c r="A3" s="43" t="s">
        <v>592</v>
      </c>
      <c r="B3" t="s">
        <v>603</v>
      </c>
    </row>
    <row r="4" spans="1:2">
      <c r="A4" s="1" t="s">
        <v>152</v>
      </c>
      <c r="B4" s="30">
        <v>9145.98</v>
      </c>
    </row>
    <row r="5" spans="1:2">
      <c r="A5" s="1" t="s">
        <v>151</v>
      </c>
      <c r="B5" s="30">
        <v>916459.37999999966</v>
      </c>
    </row>
    <row r="6" spans="1:2">
      <c r="A6" s="1" t="s">
        <v>593</v>
      </c>
      <c r="B6" s="30">
        <v>925605.35999999964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C4F8-8B7E-45E3-8635-B6C1E160DA9B}">
  <dimension ref="A1:F379"/>
  <sheetViews>
    <sheetView workbookViewId="0">
      <selection activeCell="D3" sqref="D3:D379"/>
    </sheetView>
  </sheetViews>
  <sheetFormatPr defaultRowHeight="14.4"/>
  <cols>
    <col min="2" max="2" width="8.33203125" bestFit="1" customWidth="1"/>
    <col min="3" max="3" width="28.33203125" bestFit="1" customWidth="1"/>
    <col min="4" max="4" width="13" bestFit="1" customWidth="1"/>
    <col min="5" max="5" width="12.21875" bestFit="1" customWidth="1"/>
    <col min="6" max="6" width="12.6640625" bestFit="1" customWidth="1"/>
  </cols>
  <sheetData>
    <row r="1" spans="1:6" ht="18.600000000000001" thickBot="1">
      <c r="A1" s="78" t="s">
        <v>602</v>
      </c>
      <c r="B1" s="79"/>
      <c r="C1" s="79"/>
      <c r="D1" s="79"/>
      <c r="E1" s="79"/>
      <c r="F1" s="79"/>
    </row>
    <row r="2" spans="1:6" ht="24.6" thickBot="1">
      <c r="A2" s="15" t="s">
        <v>3</v>
      </c>
      <c r="B2" s="14" t="s">
        <v>0</v>
      </c>
      <c r="C2" s="3" t="s">
        <v>1</v>
      </c>
      <c r="D2" s="12" t="s">
        <v>2</v>
      </c>
      <c r="E2" s="19" t="s">
        <v>5</v>
      </c>
      <c r="F2" s="52" t="s">
        <v>601</v>
      </c>
    </row>
    <row r="3" spans="1:6">
      <c r="A3" s="59">
        <v>6243</v>
      </c>
      <c r="B3" s="16">
        <v>46143</v>
      </c>
      <c r="C3" s="8" t="s">
        <v>18</v>
      </c>
      <c r="D3" s="31">
        <v>50</v>
      </c>
      <c r="E3" s="18" t="s">
        <v>590</v>
      </c>
      <c r="F3" t="s">
        <v>151</v>
      </c>
    </row>
    <row r="4" spans="1:6">
      <c r="A4" s="5" t="s">
        <v>70</v>
      </c>
      <c r="B4" s="16">
        <v>46146</v>
      </c>
      <c r="C4" s="6" t="s">
        <v>19</v>
      </c>
      <c r="D4" s="31">
        <v>560</v>
      </c>
      <c r="E4" s="18" t="s">
        <v>590</v>
      </c>
      <c r="F4" t="s">
        <v>151</v>
      </c>
    </row>
    <row r="5" spans="1:6">
      <c r="A5" s="5" t="s">
        <v>71</v>
      </c>
      <c r="B5" s="16">
        <v>46146</v>
      </c>
      <c r="C5" s="6" t="s">
        <v>20</v>
      </c>
      <c r="D5" s="31">
        <v>55</v>
      </c>
      <c r="E5" s="18" t="s">
        <v>590</v>
      </c>
      <c r="F5" t="s">
        <v>151</v>
      </c>
    </row>
    <row r="6" spans="1:6">
      <c r="A6" s="59">
        <v>6246</v>
      </c>
      <c r="B6" s="16">
        <v>46146</v>
      </c>
      <c r="C6" s="6" t="s">
        <v>34</v>
      </c>
      <c r="D6" s="31">
        <v>95</v>
      </c>
      <c r="E6" s="18" t="s">
        <v>589</v>
      </c>
      <c r="F6" t="s">
        <v>151</v>
      </c>
    </row>
    <row r="7" spans="1:6">
      <c r="A7" s="5" t="s">
        <v>72</v>
      </c>
      <c r="B7" s="16">
        <v>46146</v>
      </c>
      <c r="C7" s="6" t="s">
        <v>35</v>
      </c>
      <c r="D7" s="31">
        <v>348.2</v>
      </c>
      <c r="E7" s="18" t="s">
        <v>589</v>
      </c>
      <c r="F7" t="s">
        <v>151</v>
      </c>
    </row>
    <row r="8" spans="1:6">
      <c r="A8" s="5" t="s">
        <v>73</v>
      </c>
      <c r="B8" s="16">
        <v>46146</v>
      </c>
      <c r="C8" s="6" t="s">
        <v>36</v>
      </c>
      <c r="D8" s="31">
        <v>454.72</v>
      </c>
      <c r="E8" s="18" t="s">
        <v>589</v>
      </c>
      <c r="F8" t="s">
        <v>151</v>
      </c>
    </row>
    <row r="9" spans="1:6">
      <c r="A9" s="5" t="s">
        <v>74</v>
      </c>
      <c r="B9" s="16">
        <v>46146</v>
      </c>
      <c r="C9" s="6" t="s">
        <v>256</v>
      </c>
      <c r="D9" s="31">
        <v>824</v>
      </c>
      <c r="E9" s="18" t="s">
        <v>589</v>
      </c>
      <c r="F9" t="s">
        <v>151</v>
      </c>
    </row>
    <row r="10" spans="1:6">
      <c r="A10" s="5" t="s">
        <v>75</v>
      </c>
      <c r="B10" s="16">
        <v>46146</v>
      </c>
      <c r="C10" s="6" t="s">
        <v>37</v>
      </c>
      <c r="D10" s="31">
        <v>1399.33</v>
      </c>
      <c r="E10" s="18" t="s">
        <v>589</v>
      </c>
      <c r="F10" t="s">
        <v>151</v>
      </c>
    </row>
    <row r="11" spans="1:6">
      <c r="A11" s="5" t="s">
        <v>76</v>
      </c>
      <c r="B11" s="16">
        <v>46146</v>
      </c>
      <c r="C11" s="6" t="s">
        <v>38</v>
      </c>
      <c r="D11" s="31">
        <v>1469.17</v>
      </c>
      <c r="E11" s="18" t="s">
        <v>589</v>
      </c>
      <c r="F11" t="s">
        <v>151</v>
      </c>
    </row>
    <row r="12" spans="1:6">
      <c r="A12" s="5" t="s">
        <v>260</v>
      </c>
      <c r="B12" s="16">
        <v>46146</v>
      </c>
      <c r="C12" s="6" t="s">
        <v>256</v>
      </c>
      <c r="D12" s="31">
        <v>824</v>
      </c>
      <c r="E12" s="18" t="s">
        <v>589</v>
      </c>
      <c r="F12" t="s">
        <v>151</v>
      </c>
    </row>
    <row r="13" spans="1:6">
      <c r="A13" s="5" t="s">
        <v>302</v>
      </c>
      <c r="B13" s="16">
        <v>46146</v>
      </c>
      <c r="C13" s="6" t="s">
        <v>282</v>
      </c>
      <c r="D13" s="31">
        <v>10</v>
      </c>
      <c r="E13" s="18" t="s">
        <v>589</v>
      </c>
      <c r="F13" t="s">
        <v>151</v>
      </c>
    </row>
    <row r="14" spans="1:6">
      <c r="A14" s="5" t="s">
        <v>303</v>
      </c>
      <c r="B14" s="16">
        <v>46146</v>
      </c>
      <c r="C14" s="6" t="s">
        <v>283</v>
      </c>
      <c r="D14" s="31">
        <v>81.400000000000006</v>
      </c>
      <c r="E14" s="18" t="s">
        <v>589</v>
      </c>
      <c r="F14" t="s">
        <v>151</v>
      </c>
    </row>
    <row r="15" spans="1:6">
      <c r="A15" s="5" t="s">
        <v>304</v>
      </c>
      <c r="B15" s="16">
        <v>46146</v>
      </c>
      <c r="C15" s="6" t="s">
        <v>286</v>
      </c>
      <c r="D15" s="31">
        <v>11.08</v>
      </c>
      <c r="E15" s="18" t="s">
        <v>589</v>
      </c>
      <c r="F15" t="s">
        <v>151</v>
      </c>
    </row>
    <row r="16" spans="1:6">
      <c r="A16" s="5" t="s">
        <v>305</v>
      </c>
      <c r="B16" s="16">
        <v>46146</v>
      </c>
      <c r="C16" s="6" t="s">
        <v>290</v>
      </c>
      <c r="D16" s="31">
        <v>69.709999999999994</v>
      </c>
      <c r="E16" s="18" t="s">
        <v>590</v>
      </c>
      <c r="F16" t="s">
        <v>151</v>
      </c>
    </row>
    <row r="17" spans="1:6">
      <c r="A17" s="5" t="s">
        <v>306</v>
      </c>
      <c r="B17" s="16">
        <v>46146</v>
      </c>
      <c r="C17" s="6" t="s">
        <v>291</v>
      </c>
      <c r="D17" s="31">
        <v>111.07</v>
      </c>
      <c r="E17" s="18" t="s">
        <v>590</v>
      </c>
      <c r="F17" t="s">
        <v>151</v>
      </c>
    </row>
    <row r="18" spans="1:6">
      <c r="A18" s="5" t="s">
        <v>307</v>
      </c>
      <c r="B18" s="16">
        <v>46146</v>
      </c>
      <c r="C18" s="6" t="s">
        <v>290</v>
      </c>
      <c r="D18" s="31">
        <v>0.75</v>
      </c>
      <c r="E18" s="18" t="s">
        <v>590</v>
      </c>
      <c r="F18" t="s">
        <v>151</v>
      </c>
    </row>
    <row r="19" spans="1:6">
      <c r="A19" s="5" t="s">
        <v>308</v>
      </c>
      <c r="B19" s="16">
        <v>46146</v>
      </c>
      <c r="C19" s="6" t="s">
        <v>290</v>
      </c>
      <c r="D19" s="31">
        <v>0.75</v>
      </c>
      <c r="E19" s="18" t="s">
        <v>590</v>
      </c>
      <c r="F19" t="s">
        <v>151</v>
      </c>
    </row>
    <row r="20" spans="1:6">
      <c r="A20" s="5" t="s">
        <v>309</v>
      </c>
      <c r="B20" s="16">
        <v>46146</v>
      </c>
      <c r="C20" s="6" t="s">
        <v>292</v>
      </c>
      <c r="D20" s="31">
        <v>642.94000000000005</v>
      </c>
      <c r="E20" s="18" t="s">
        <v>590</v>
      </c>
      <c r="F20" t="s">
        <v>151</v>
      </c>
    </row>
    <row r="21" spans="1:6">
      <c r="A21" s="5" t="s">
        <v>310</v>
      </c>
      <c r="B21" s="16">
        <v>46146</v>
      </c>
      <c r="C21" s="6" t="s">
        <v>286</v>
      </c>
      <c r="D21" s="31">
        <v>5.54</v>
      </c>
      <c r="E21" s="18" t="s">
        <v>590</v>
      </c>
      <c r="F21" t="s">
        <v>151</v>
      </c>
    </row>
    <row r="22" spans="1:6">
      <c r="A22" s="5" t="s">
        <v>77</v>
      </c>
      <c r="B22" s="16">
        <v>46147</v>
      </c>
      <c r="C22" s="6" t="s">
        <v>21</v>
      </c>
      <c r="D22" s="31">
        <v>150</v>
      </c>
      <c r="E22" s="18" t="s">
        <v>590</v>
      </c>
      <c r="F22" t="s">
        <v>151</v>
      </c>
    </row>
    <row r="23" spans="1:6">
      <c r="A23" s="5" t="s">
        <v>78</v>
      </c>
      <c r="B23" s="16">
        <v>46147</v>
      </c>
      <c r="C23" s="18" t="s">
        <v>19</v>
      </c>
      <c r="D23" s="31">
        <v>130</v>
      </c>
      <c r="E23" s="18" t="s">
        <v>590</v>
      </c>
      <c r="F23" t="s">
        <v>151</v>
      </c>
    </row>
    <row r="24" spans="1:6">
      <c r="A24" s="5" t="s">
        <v>79</v>
      </c>
      <c r="B24" s="16">
        <v>46147</v>
      </c>
      <c r="C24" s="6" t="s">
        <v>22</v>
      </c>
      <c r="D24" s="31">
        <v>8985.5</v>
      </c>
      <c r="E24" s="18" t="s">
        <v>590</v>
      </c>
      <c r="F24" t="s">
        <v>151</v>
      </c>
    </row>
    <row r="25" spans="1:6">
      <c r="A25" s="5" t="s">
        <v>80</v>
      </c>
      <c r="B25" s="16">
        <v>46147</v>
      </c>
      <c r="C25" s="11" t="s">
        <v>23</v>
      </c>
      <c r="D25" s="31">
        <v>78.09</v>
      </c>
      <c r="E25" s="18" t="s">
        <v>590</v>
      </c>
      <c r="F25" t="s">
        <v>151</v>
      </c>
    </row>
    <row r="26" spans="1:6">
      <c r="A26" s="5" t="s">
        <v>81</v>
      </c>
      <c r="B26" s="16">
        <v>46147</v>
      </c>
      <c r="C26" s="11" t="s">
        <v>24</v>
      </c>
      <c r="D26" s="31">
        <v>760.33</v>
      </c>
      <c r="E26" s="18" t="s">
        <v>590</v>
      </c>
      <c r="F26" t="s">
        <v>151</v>
      </c>
    </row>
    <row r="27" spans="1:6">
      <c r="A27" s="5" t="s">
        <v>82</v>
      </c>
      <c r="B27" s="16">
        <v>46147</v>
      </c>
      <c r="C27" s="6" t="s">
        <v>25</v>
      </c>
      <c r="D27" s="31">
        <v>3450</v>
      </c>
      <c r="E27" s="18" t="s">
        <v>590</v>
      </c>
      <c r="F27" t="s">
        <v>151</v>
      </c>
    </row>
    <row r="28" spans="1:6" ht="24">
      <c r="A28" s="5" t="s">
        <v>83</v>
      </c>
      <c r="B28" s="16">
        <v>46147</v>
      </c>
      <c r="C28" s="6" t="s">
        <v>26</v>
      </c>
      <c r="D28" s="31">
        <v>84</v>
      </c>
      <c r="E28" s="18" t="s">
        <v>590</v>
      </c>
      <c r="F28" t="s">
        <v>151</v>
      </c>
    </row>
    <row r="29" spans="1:6" ht="24">
      <c r="A29" s="5" t="s">
        <v>84</v>
      </c>
      <c r="B29" s="16">
        <v>46147</v>
      </c>
      <c r="C29" s="6" t="s">
        <v>27</v>
      </c>
      <c r="D29" s="31">
        <v>188.2</v>
      </c>
      <c r="E29" s="18" t="s">
        <v>590</v>
      </c>
      <c r="F29" t="s">
        <v>151</v>
      </c>
    </row>
    <row r="30" spans="1:6">
      <c r="A30" s="5" t="s">
        <v>85</v>
      </c>
      <c r="B30" s="16">
        <v>46147</v>
      </c>
      <c r="C30" s="6" t="s">
        <v>28</v>
      </c>
      <c r="D30" s="31">
        <v>145.47</v>
      </c>
      <c r="E30" s="18" t="s">
        <v>590</v>
      </c>
      <c r="F30" t="s">
        <v>151</v>
      </c>
    </row>
    <row r="31" spans="1:6">
      <c r="A31" s="5" t="s">
        <v>86</v>
      </c>
      <c r="B31" s="16">
        <v>46147</v>
      </c>
      <c r="C31" s="6" t="s">
        <v>7</v>
      </c>
      <c r="D31" s="31">
        <v>1592.75</v>
      </c>
      <c r="E31" s="18" t="s">
        <v>590</v>
      </c>
      <c r="F31" t="s">
        <v>151</v>
      </c>
    </row>
    <row r="32" spans="1:6">
      <c r="A32" s="5" t="s">
        <v>87</v>
      </c>
      <c r="B32" s="16">
        <v>46147</v>
      </c>
      <c r="C32" s="6" t="s">
        <v>8</v>
      </c>
      <c r="D32" s="31">
        <v>4837</v>
      </c>
      <c r="E32" s="18" t="s">
        <v>590</v>
      </c>
      <c r="F32" t="s">
        <v>151</v>
      </c>
    </row>
    <row r="33" spans="1:6" ht="24">
      <c r="A33" s="5" t="s">
        <v>88</v>
      </c>
      <c r="B33" s="16">
        <v>46147</v>
      </c>
      <c r="C33" s="6" t="s">
        <v>9</v>
      </c>
      <c r="D33" s="31">
        <v>5446</v>
      </c>
      <c r="E33" s="18" t="s">
        <v>590</v>
      </c>
      <c r="F33" t="s">
        <v>151</v>
      </c>
    </row>
    <row r="34" spans="1:6">
      <c r="A34" s="5" t="s">
        <v>89</v>
      </c>
      <c r="B34" s="16">
        <v>46147</v>
      </c>
      <c r="C34" s="6" t="s">
        <v>10</v>
      </c>
      <c r="D34" s="31">
        <v>7036.68</v>
      </c>
      <c r="E34" s="18" t="s">
        <v>590</v>
      </c>
      <c r="F34" t="s">
        <v>151</v>
      </c>
    </row>
    <row r="35" spans="1:6">
      <c r="A35" s="5" t="s">
        <v>90</v>
      </c>
      <c r="B35" s="16">
        <v>46147</v>
      </c>
      <c r="C35" s="6" t="s">
        <v>11</v>
      </c>
      <c r="D35" s="31">
        <v>3972.5</v>
      </c>
      <c r="E35" s="18" t="s">
        <v>590</v>
      </c>
      <c r="F35" t="s">
        <v>151</v>
      </c>
    </row>
    <row r="36" spans="1:6">
      <c r="A36" s="5" t="s">
        <v>91</v>
      </c>
      <c r="B36" s="16">
        <v>46147</v>
      </c>
      <c r="C36" s="6" t="s">
        <v>12</v>
      </c>
      <c r="D36" s="31">
        <v>5924.05</v>
      </c>
      <c r="E36" s="18" t="s">
        <v>590</v>
      </c>
      <c r="F36" t="s">
        <v>151</v>
      </c>
    </row>
    <row r="37" spans="1:6">
      <c r="A37" s="5" t="s">
        <v>92</v>
      </c>
      <c r="B37" s="16">
        <v>46147</v>
      </c>
      <c r="C37" s="6" t="s">
        <v>13</v>
      </c>
      <c r="D37" s="31">
        <v>4137.75</v>
      </c>
      <c r="E37" s="18" t="s">
        <v>590</v>
      </c>
      <c r="F37" t="s">
        <v>151</v>
      </c>
    </row>
    <row r="38" spans="1:6" ht="24">
      <c r="A38" s="5" t="s">
        <v>93</v>
      </c>
      <c r="B38" s="16">
        <v>46147</v>
      </c>
      <c r="C38" s="6" t="s">
        <v>39</v>
      </c>
      <c r="D38" s="31">
        <v>108.39</v>
      </c>
      <c r="E38" s="18" t="s">
        <v>589</v>
      </c>
      <c r="F38" t="s">
        <v>151</v>
      </c>
    </row>
    <row r="39" spans="1:6">
      <c r="A39" s="5" t="s">
        <v>94</v>
      </c>
      <c r="B39" s="16">
        <v>46147</v>
      </c>
      <c r="C39" s="6" t="s">
        <v>40</v>
      </c>
      <c r="D39" s="31">
        <v>1011</v>
      </c>
      <c r="E39" s="18" t="s">
        <v>589</v>
      </c>
      <c r="F39" t="s">
        <v>151</v>
      </c>
    </row>
    <row r="40" spans="1:6">
      <c r="A40" s="5" t="s">
        <v>95</v>
      </c>
      <c r="B40" s="16">
        <v>46147</v>
      </c>
      <c r="C40" s="6" t="s">
        <v>19</v>
      </c>
      <c r="D40" s="31">
        <v>430.08</v>
      </c>
      <c r="E40" s="18" t="s">
        <v>589</v>
      </c>
      <c r="F40" t="s">
        <v>151</v>
      </c>
    </row>
    <row r="41" spans="1:6">
      <c r="A41" s="5" t="s">
        <v>185</v>
      </c>
      <c r="B41" s="16">
        <v>46147</v>
      </c>
      <c r="C41" s="6" t="s">
        <v>18</v>
      </c>
      <c r="D41" s="31">
        <v>50</v>
      </c>
      <c r="E41" s="18" t="s">
        <v>590</v>
      </c>
      <c r="F41" t="s">
        <v>151</v>
      </c>
    </row>
    <row r="42" spans="1:6">
      <c r="A42" s="5" t="s">
        <v>186</v>
      </c>
      <c r="B42" s="16">
        <v>46147</v>
      </c>
      <c r="C42" s="6" t="s">
        <v>150</v>
      </c>
      <c r="D42" s="31">
        <v>284.64999999999998</v>
      </c>
      <c r="E42" s="18" t="s">
        <v>590</v>
      </c>
      <c r="F42" t="s">
        <v>151</v>
      </c>
    </row>
    <row r="43" spans="1:6">
      <c r="A43" s="5" t="s">
        <v>311</v>
      </c>
      <c r="B43" s="16">
        <v>46147</v>
      </c>
      <c r="C43" s="6" t="s">
        <v>288</v>
      </c>
      <c r="D43" s="31">
        <v>99.27</v>
      </c>
      <c r="E43" s="18" t="s">
        <v>589</v>
      </c>
      <c r="F43" t="s">
        <v>151</v>
      </c>
    </row>
    <row r="44" spans="1:6">
      <c r="A44" s="5" t="s">
        <v>312</v>
      </c>
      <c r="B44" s="16">
        <v>46147</v>
      </c>
      <c r="C44" s="6" t="s">
        <v>289</v>
      </c>
      <c r="D44" s="31">
        <v>61.01</v>
      </c>
      <c r="E44" s="18" t="s">
        <v>589</v>
      </c>
      <c r="F44" t="s">
        <v>151</v>
      </c>
    </row>
    <row r="45" spans="1:6">
      <c r="A45" s="5" t="s">
        <v>313</v>
      </c>
      <c r="B45" s="16">
        <v>46147</v>
      </c>
      <c r="C45" s="6" t="s">
        <v>286</v>
      </c>
      <c r="D45" s="31">
        <v>5.54</v>
      </c>
      <c r="E45" s="18" t="s">
        <v>589</v>
      </c>
      <c r="F45" t="s">
        <v>151</v>
      </c>
    </row>
    <row r="46" spans="1:6">
      <c r="A46" s="5" t="s">
        <v>314</v>
      </c>
      <c r="B46" s="16">
        <v>46147</v>
      </c>
      <c r="C46" s="6" t="s">
        <v>286</v>
      </c>
      <c r="D46" s="31">
        <v>5.54</v>
      </c>
      <c r="E46" s="18" t="s">
        <v>589</v>
      </c>
      <c r="F46" t="s">
        <v>151</v>
      </c>
    </row>
    <row r="47" spans="1:6">
      <c r="A47" s="5" t="s">
        <v>315</v>
      </c>
      <c r="B47" s="16">
        <v>46147</v>
      </c>
      <c r="C47" s="6" t="s">
        <v>290</v>
      </c>
      <c r="D47" s="31">
        <v>0.75</v>
      </c>
      <c r="E47" s="18" t="s">
        <v>590</v>
      </c>
      <c r="F47" t="s">
        <v>151</v>
      </c>
    </row>
    <row r="48" spans="1:6">
      <c r="A48" s="5" t="s">
        <v>316</v>
      </c>
      <c r="B48" s="16">
        <v>46147</v>
      </c>
      <c r="C48" s="6" t="s">
        <v>295</v>
      </c>
      <c r="D48" s="31">
        <v>250.73</v>
      </c>
      <c r="E48" s="18" t="s">
        <v>590</v>
      </c>
      <c r="F48" t="s">
        <v>151</v>
      </c>
    </row>
    <row r="49" spans="1:6">
      <c r="A49" s="5" t="s">
        <v>317</v>
      </c>
      <c r="B49" s="16">
        <v>46147</v>
      </c>
      <c r="C49" s="6" t="s">
        <v>289</v>
      </c>
      <c r="D49" s="31">
        <v>139.83000000000001</v>
      </c>
      <c r="E49" s="18" t="s">
        <v>590</v>
      </c>
      <c r="F49" t="s">
        <v>151</v>
      </c>
    </row>
    <row r="50" spans="1:6">
      <c r="A50" s="5" t="s">
        <v>318</v>
      </c>
      <c r="B50" s="16">
        <v>46147</v>
      </c>
      <c r="C50" s="6" t="s">
        <v>296</v>
      </c>
      <c r="D50" s="31">
        <v>81.08</v>
      </c>
      <c r="E50" s="18" t="s">
        <v>590</v>
      </c>
      <c r="F50" t="s">
        <v>151</v>
      </c>
    </row>
    <row r="51" spans="1:6">
      <c r="A51" s="5" t="s">
        <v>319</v>
      </c>
      <c r="B51" s="16">
        <v>46147</v>
      </c>
      <c r="C51" s="6" t="s">
        <v>297</v>
      </c>
      <c r="D51" s="31">
        <v>69.25</v>
      </c>
      <c r="E51" s="18" t="s">
        <v>590</v>
      </c>
      <c r="F51" t="s">
        <v>151</v>
      </c>
    </row>
    <row r="52" spans="1:6">
      <c r="A52" s="5" t="s">
        <v>320</v>
      </c>
      <c r="B52" s="16">
        <v>46147</v>
      </c>
      <c r="C52" s="6" t="s">
        <v>288</v>
      </c>
      <c r="D52" s="31">
        <v>228.72</v>
      </c>
      <c r="E52" s="18" t="s">
        <v>590</v>
      </c>
      <c r="F52" t="s">
        <v>151</v>
      </c>
    </row>
    <row r="53" spans="1:6">
      <c r="A53" s="5" t="s">
        <v>321</v>
      </c>
      <c r="B53" s="16">
        <v>46147</v>
      </c>
      <c r="C53" s="6" t="s">
        <v>286</v>
      </c>
      <c r="D53" s="31">
        <v>16.62</v>
      </c>
      <c r="E53" s="18" t="s">
        <v>590</v>
      </c>
      <c r="F53" t="s">
        <v>151</v>
      </c>
    </row>
    <row r="54" spans="1:6">
      <c r="A54" s="5" t="s">
        <v>96</v>
      </c>
      <c r="B54" s="16">
        <v>46148</v>
      </c>
      <c r="C54" s="6" t="s">
        <v>29</v>
      </c>
      <c r="D54" s="31">
        <v>18</v>
      </c>
      <c r="E54" s="18" t="s">
        <v>590</v>
      </c>
      <c r="F54" t="s">
        <v>151</v>
      </c>
    </row>
    <row r="55" spans="1:6">
      <c r="A55" s="5" t="s">
        <v>97</v>
      </c>
      <c r="B55" s="16">
        <v>46148</v>
      </c>
      <c r="C55" s="6" t="s">
        <v>30</v>
      </c>
      <c r="D55" s="31">
        <v>7231.83</v>
      </c>
      <c r="E55" s="18" t="s">
        <v>590</v>
      </c>
      <c r="F55" t="s">
        <v>151</v>
      </c>
    </row>
    <row r="56" spans="1:6">
      <c r="A56" s="5" t="s">
        <v>98</v>
      </c>
      <c r="B56" s="16">
        <v>46148</v>
      </c>
      <c r="C56" s="6" t="s">
        <v>31</v>
      </c>
      <c r="D56" s="31">
        <v>7375.25</v>
      </c>
      <c r="E56" s="18" t="s">
        <v>590</v>
      </c>
      <c r="F56" t="s">
        <v>151</v>
      </c>
    </row>
    <row r="57" spans="1:6">
      <c r="A57" s="7" t="s">
        <v>99</v>
      </c>
      <c r="B57" s="16">
        <v>46148</v>
      </c>
      <c r="C57" s="8" t="s">
        <v>32</v>
      </c>
      <c r="D57" s="32">
        <v>570</v>
      </c>
      <c r="E57" s="18" t="s">
        <v>590</v>
      </c>
      <c r="F57" t="s">
        <v>151</v>
      </c>
    </row>
    <row r="58" spans="1:6">
      <c r="A58" s="7" t="s">
        <v>100</v>
      </c>
      <c r="B58" s="16">
        <v>46148</v>
      </c>
      <c r="C58" s="8" t="s">
        <v>25</v>
      </c>
      <c r="D58" s="32">
        <v>4350</v>
      </c>
      <c r="E58" s="18" t="s">
        <v>590</v>
      </c>
      <c r="F58" t="s">
        <v>151</v>
      </c>
    </row>
    <row r="59" spans="1:6">
      <c r="A59" s="5" t="s">
        <v>101</v>
      </c>
      <c r="B59" s="16">
        <v>46148</v>
      </c>
      <c r="C59" s="23" t="s">
        <v>33</v>
      </c>
      <c r="D59" s="31">
        <v>520</v>
      </c>
      <c r="E59" s="24" t="s">
        <v>590</v>
      </c>
      <c r="F59" t="s">
        <v>151</v>
      </c>
    </row>
    <row r="60" spans="1:6">
      <c r="A60" s="5" t="s">
        <v>102</v>
      </c>
      <c r="B60" s="16">
        <v>46148</v>
      </c>
      <c r="C60" s="6" t="s">
        <v>7</v>
      </c>
      <c r="D60" s="31">
        <v>977.08</v>
      </c>
      <c r="E60" s="18" t="s">
        <v>590</v>
      </c>
      <c r="F60" t="s">
        <v>151</v>
      </c>
    </row>
    <row r="61" spans="1:6" ht="24">
      <c r="A61" s="5" t="s">
        <v>103</v>
      </c>
      <c r="B61" s="16">
        <v>46148</v>
      </c>
      <c r="C61" s="6" t="s">
        <v>14</v>
      </c>
      <c r="D61" s="31">
        <v>1051.81</v>
      </c>
      <c r="E61" s="18" t="s">
        <v>590</v>
      </c>
      <c r="F61" t="s">
        <v>151</v>
      </c>
    </row>
    <row r="62" spans="1:6">
      <c r="A62" s="5" t="s">
        <v>104</v>
      </c>
      <c r="B62" s="16">
        <v>46148</v>
      </c>
      <c r="C62" s="6" t="s">
        <v>15</v>
      </c>
      <c r="D62" s="31">
        <v>4680</v>
      </c>
      <c r="E62" s="18" t="s">
        <v>590</v>
      </c>
      <c r="F62" t="s">
        <v>151</v>
      </c>
    </row>
    <row r="63" spans="1:6">
      <c r="A63" s="5" t="s">
        <v>105</v>
      </c>
      <c r="B63" s="16">
        <v>46148</v>
      </c>
      <c r="C63" s="6" t="s">
        <v>16</v>
      </c>
      <c r="D63" s="31">
        <v>4036</v>
      </c>
      <c r="E63" s="18" t="s">
        <v>590</v>
      </c>
      <c r="F63" t="s">
        <v>151</v>
      </c>
    </row>
    <row r="64" spans="1:6">
      <c r="A64" s="5" t="s">
        <v>106</v>
      </c>
      <c r="B64" s="16">
        <v>46148</v>
      </c>
      <c r="C64" s="6" t="s">
        <v>17</v>
      </c>
      <c r="D64" s="31">
        <v>4068.75</v>
      </c>
      <c r="E64" s="18" t="s">
        <v>590</v>
      </c>
      <c r="F64" t="s">
        <v>151</v>
      </c>
    </row>
    <row r="65" spans="1:6">
      <c r="A65" s="5" t="s">
        <v>107</v>
      </c>
      <c r="B65" s="16">
        <v>46148</v>
      </c>
      <c r="C65" s="23" t="s">
        <v>41</v>
      </c>
      <c r="D65" s="31">
        <v>24</v>
      </c>
      <c r="E65" s="24" t="s">
        <v>589</v>
      </c>
      <c r="F65" t="s">
        <v>151</v>
      </c>
    </row>
    <row r="66" spans="1:6">
      <c r="A66" s="7" t="s">
        <v>108</v>
      </c>
      <c r="B66" s="16">
        <v>46148</v>
      </c>
      <c r="C66" s="8" t="s">
        <v>19</v>
      </c>
      <c r="D66" s="32">
        <v>600</v>
      </c>
      <c r="E66" s="18" t="s">
        <v>589</v>
      </c>
      <c r="F66" t="s">
        <v>151</v>
      </c>
    </row>
    <row r="67" spans="1:6">
      <c r="A67" s="7" t="s">
        <v>109</v>
      </c>
      <c r="B67" s="16">
        <v>46148</v>
      </c>
      <c r="C67" s="8" t="s">
        <v>42</v>
      </c>
      <c r="D67" s="32">
        <v>7231.84</v>
      </c>
      <c r="E67" s="18" t="s">
        <v>589</v>
      </c>
      <c r="F67" t="s">
        <v>151</v>
      </c>
    </row>
    <row r="68" spans="1:6">
      <c r="A68" s="7" t="s">
        <v>110</v>
      </c>
      <c r="B68" s="16">
        <v>46148</v>
      </c>
      <c r="C68" s="8" t="s">
        <v>43</v>
      </c>
      <c r="D68" s="32">
        <v>800</v>
      </c>
      <c r="E68" s="18" t="s">
        <v>590</v>
      </c>
      <c r="F68" t="s">
        <v>151</v>
      </c>
    </row>
    <row r="69" spans="1:6">
      <c r="A69" s="7" t="s">
        <v>111</v>
      </c>
      <c r="B69" s="16">
        <v>46148</v>
      </c>
      <c r="C69" s="8" t="s">
        <v>40</v>
      </c>
      <c r="D69" s="32">
        <v>1142.9000000000001</v>
      </c>
      <c r="E69" s="18" t="s">
        <v>590</v>
      </c>
      <c r="F69" t="s">
        <v>151</v>
      </c>
    </row>
    <row r="70" spans="1:6">
      <c r="A70" s="7" t="s">
        <v>112</v>
      </c>
      <c r="B70" s="16">
        <v>46148</v>
      </c>
      <c r="C70" s="8" t="s">
        <v>45</v>
      </c>
      <c r="D70" s="32">
        <v>130</v>
      </c>
      <c r="E70" s="18" t="s">
        <v>590</v>
      </c>
      <c r="F70" t="s">
        <v>151</v>
      </c>
    </row>
    <row r="71" spans="1:6">
      <c r="A71" s="7" t="s">
        <v>113</v>
      </c>
      <c r="B71" s="16">
        <v>46148</v>
      </c>
      <c r="C71" s="8" t="s">
        <v>46</v>
      </c>
      <c r="D71" s="32">
        <v>320</v>
      </c>
      <c r="E71" s="18" t="s">
        <v>590</v>
      </c>
      <c r="F71" t="s">
        <v>151</v>
      </c>
    </row>
    <row r="72" spans="1:6">
      <c r="A72" s="7" t="s">
        <v>114</v>
      </c>
      <c r="B72" s="16">
        <v>46148</v>
      </c>
      <c r="C72" s="8" t="s">
        <v>47</v>
      </c>
      <c r="D72" s="32">
        <v>339.44</v>
      </c>
      <c r="E72" s="18" t="s">
        <v>590</v>
      </c>
      <c r="F72" t="s">
        <v>151</v>
      </c>
    </row>
    <row r="73" spans="1:6">
      <c r="A73" s="7" t="s">
        <v>330</v>
      </c>
      <c r="B73" s="16">
        <v>46148</v>
      </c>
      <c r="C73" s="8" t="s">
        <v>284</v>
      </c>
      <c r="D73" s="32">
        <v>40</v>
      </c>
      <c r="E73" s="18" t="s">
        <v>589</v>
      </c>
      <c r="F73" t="s">
        <v>151</v>
      </c>
    </row>
    <row r="74" spans="1:6">
      <c r="A74" s="7" t="s">
        <v>331</v>
      </c>
      <c r="B74" s="16">
        <v>46148</v>
      </c>
      <c r="C74" s="8" t="s">
        <v>286</v>
      </c>
      <c r="D74" s="32">
        <v>8.31</v>
      </c>
      <c r="E74" s="18" t="s">
        <v>589</v>
      </c>
      <c r="F74" t="s">
        <v>151</v>
      </c>
    </row>
    <row r="75" spans="1:6">
      <c r="A75" s="7" t="s">
        <v>332</v>
      </c>
      <c r="B75" s="16">
        <v>46148</v>
      </c>
      <c r="C75" s="8" t="s">
        <v>290</v>
      </c>
      <c r="D75" s="32">
        <v>3.23</v>
      </c>
      <c r="E75" s="18" t="s">
        <v>590</v>
      </c>
      <c r="F75" t="s">
        <v>151</v>
      </c>
    </row>
    <row r="76" spans="1:6">
      <c r="A76" s="7" t="s">
        <v>333</v>
      </c>
      <c r="B76" s="16">
        <v>46148</v>
      </c>
      <c r="C76" s="8" t="s">
        <v>294</v>
      </c>
      <c r="D76" s="32">
        <v>180.22</v>
      </c>
      <c r="E76" s="18" t="s">
        <v>590</v>
      </c>
      <c r="F76" t="s">
        <v>151</v>
      </c>
    </row>
    <row r="77" spans="1:6">
      <c r="A77" s="7" t="s">
        <v>334</v>
      </c>
      <c r="B77" s="16">
        <v>46148</v>
      </c>
      <c r="C77" s="8" t="s">
        <v>286</v>
      </c>
      <c r="D77" s="32">
        <v>2.77</v>
      </c>
      <c r="E77" s="18" t="s">
        <v>590</v>
      </c>
      <c r="F77" t="s">
        <v>151</v>
      </c>
    </row>
    <row r="78" spans="1:6">
      <c r="A78" s="7" t="s">
        <v>335</v>
      </c>
      <c r="B78" s="16">
        <v>46149</v>
      </c>
      <c r="C78" s="8" t="s">
        <v>290</v>
      </c>
      <c r="D78" s="32">
        <v>0.96</v>
      </c>
      <c r="E78" s="18" t="s">
        <v>590</v>
      </c>
      <c r="F78" t="s">
        <v>151</v>
      </c>
    </row>
    <row r="79" spans="1:6">
      <c r="A79" s="5" t="s">
        <v>115</v>
      </c>
      <c r="B79" s="16">
        <v>46149</v>
      </c>
      <c r="C79" s="6" t="s">
        <v>7</v>
      </c>
      <c r="D79" s="31">
        <v>855.42</v>
      </c>
      <c r="E79" s="18" t="s">
        <v>590</v>
      </c>
      <c r="F79" t="s">
        <v>151</v>
      </c>
    </row>
    <row r="80" spans="1:6">
      <c r="A80" s="5" t="s">
        <v>116</v>
      </c>
      <c r="B80" s="16">
        <v>46149</v>
      </c>
      <c r="C80" s="6" t="s">
        <v>25</v>
      </c>
      <c r="D80" s="31">
        <v>4500</v>
      </c>
      <c r="E80" s="18" t="s">
        <v>590</v>
      </c>
      <c r="F80" t="s">
        <v>151</v>
      </c>
    </row>
    <row r="81" spans="1:6">
      <c r="A81" s="5" t="s">
        <v>117</v>
      </c>
      <c r="B81" s="16">
        <v>46149</v>
      </c>
      <c r="C81" s="23" t="s">
        <v>25</v>
      </c>
      <c r="D81" s="31">
        <v>3600</v>
      </c>
      <c r="E81" s="24" t="s">
        <v>590</v>
      </c>
      <c r="F81" t="s">
        <v>151</v>
      </c>
    </row>
    <row r="82" spans="1:6">
      <c r="A82" s="5" t="s">
        <v>118</v>
      </c>
      <c r="B82" s="16">
        <v>46149</v>
      </c>
      <c r="C82" s="23" t="s">
        <v>25</v>
      </c>
      <c r="D82" s="31">
        <v>2650</v>
      </c>
      <c r="E82" s="18" t="s">
        <v>590</v>
      </c>
      <c r="F82" t="s">
        <v>151</v>
      </c>
    </row>
    <row r="83" spans="1:6">
      <c r="A83" s="5" t="s">
        <v>119</v>
      </c>
      <c r="B83" s="16">
        <v>46149</v>
      </c>
      <c r="C83" s="23" t="s">
        <v>25</v>
      </c>
      <c r="D83" s="31">
        <v>2650</v>
      </c>
      <c r="E83" s="18" t="s">
        <v>590</v>
      </c>
      <c r="F83" t="s">
        <v>151</v>
      </c>
    </row>
    <row r="84" spans="1:6">
      <c r="A84" s="5" t="s">
        <v>120</v>
      </c>
      <c r="B84" s="16">
        <v>46149</v>
      </c>
      <c r="C84" s="23" t="s">
        <v>48</v>
      </c>
      <c r="D84" s="31">
        <v>6916.3</v>
      </c>
      <c r="E84" s="24" t="s">
        <v>590</v>
      </c>
      <c r="F84" t="s">
        <v>151</v>
      </c>
    </row>
    <row r="85" spans="1:6">
      <c r="A85" s="5" t="s">
        <v>121</v>
      </c>
      <c r="B85" s="16">
        <v>46149</v>
      </c>
      <c r="C85" s="23" t="s">
        <v>49</v>
      </c>
      <c r="D85" s="31">
        <v>2650</v>
      </c>
      <c r="E85" s="24" t="s">
        <v>590</v>
      </c>
      <c r="F85" t="s">
        <v>151</v>
      </c>
    </row>
    <row r="86" spans="1:6">
      <c r="A86" s="5" t="s">
        <v>122</v>
      </c>
      <c r="B86" s="16">
        <v>46149</v>
      </c>
      <c r="C86" s="23" t="s">
        <v>50</v>
      </c>
      <c r="D86" s="31">
        <v>10021</v>
      </c>
      <c r="E86" s="24" t="s">
        <v>590</v>
      </c>
      <c r="F86" t="s">
        <v>151</v>
      </c>
    </row>
    <row r="87" spans="1:6">
      <c r="A87" s="5" t="s">
        <v>123</v>
      </c>
      <c r="B87" s="16">
        <v>46149</v>
      </c>
      <c r="C87" s="23" t="s">
        <v>51</v>
      </c>
      <c r="D87" s="31">
        <v>7554.3</v>
      </c>
      <c r="E87" s="24" t="s">
        <v>590</v>
      </c>
      <c r="F87" t="s">
        <v>151</v>
      </c>
    </row>
    <row r="88" spans="1:6">
      <c r="A88" s="5" t="s">
        <v>124</v>
      </c>
      <c r="B88" s="16">
        <v>46149</v>
      </c>
      <c r="C88" s="23" t="s">
        <v>52</v>
      </c>
      <c r="D88" s="31">
        <v>185</v>
      </c>
      <c r="E88" s="24" t="s">
        <v>590</v>
      </c>
      <c r="F88" t="s">
        <v>151</v>
      </c>
    </row>
    <row r="89" spans="1:6">
      <c r="A89" s="5" t="s">
        <v>125</v>
      </c>
      <c r="B89" s="16">
        <v>46149</v>
      </c>
      <c r="C89" s="23" t="s">
        <v>53</v>
      </c>
      <c r="D89" s="31">
        <v>7583.16</v>
      </c>
      <c r="E89" s="24" t="s">
        <v>589</v>
      </c>
      <c r="F89" t="s">
        <v>151</v>
      </c>
    </row>
    <row r="90" spans="1:6">
      <c r="A90" s="5" t="s">
        <v>126</v>
      </c>
      <c r="B90" s="16">
        <v>46149</v>
      </c>
      <c r="C90" s="23" t="s">
        <v>54</v>
      </c>
      <c r="D90" s="31">
        <v>7294.5</v>
      </c>
      <c r="E90" s="24" t="s">
        <v>589</v>
      </c>
      <c r="F90" t="s">
        <v>151</v>
      </c>
    </row>
    <row r="91" spans="1:6">
      <c r="A91" s="5" t="s">
        <v>127</v>
      </c>
      <c r="B91" s="16">
        <v>46149</v>
      </c>
      <c r="C91" s="23" t="s">
        <v>19</v>
      </c>
      <c r="D91" s="31">
        <v>693.01</v>
      </c>
      <c r="E91" s="24" t="s">
        <v>589</v>
      </c>
      <c r="F91" t="s">
        <v>151</v>
      </c>
    </row>
    <row r="92" spans="1:6">
      <c r="A92" s="5" t="s">
        <v>128</v>
      </c>
      <c r="B92" s="16">
        <v>46149</v>
      </c>
      <c r="C92" s="23" t="s">
        <v>55</v>
      </c>
      <c r="D92" s="31">
        <v>1427.88</v>
      </c>
      <c r="E92" s="24" t="s">
        <v>589</v>
      </c>
      <c r="F92" t="s">
        <v>151</v>
      </c>
    </row>
    <row r="93" spans="1:6">
      <c r="A93" s="5" t="s">
        <v>187</v>
      </c>
      <c r="B93" s="16">
        <v>46149</v>
      </c>
      <c r="C93" s="23" t="s">
        <v>157</v>
      </c>
      <c r="D93" s="31">
        <v>30310.799999999999</v>
      </c>
      <c r="E93" s="24" t="s">
        <v>590</v>
      </c>
      <c r="F93" t="s">
        <v>151</v>
      </c>
    </row>
    <row r="94" spans="1:6">
      <c r="A94" s="5" t="s">
        <v>336</v>
      </c>
      <c r="B94" s="16">
        <v>46149</v>
      </c>
      <c r="C94" s="23" t="s">
        <v>286</v>
      </c>
      <c r="D94" s="31">
        <v>2.77</v>
      </c>
      <c r="E94" s="24" t="s">
        <v>589</v>
      </c>
      <c r="F94" t="s">
        <v>151</v>
      </c>
    </row>
    <row r="95" spans="1:6">
      <c r="A95" s="5" t="s">
        <v>337</v>
      </c>
      <c r="B95" s="16">
        <v>46149</v>
      </c>
      <c r="C95" s="23" t="s">
        <v>286</v>
      </c>
      <c r="D95" s="31">
        <v>2.77</v>
      </c>
      <c r="E95" s="24" t="s">
        <v>590</v>
      </c>
      <c r="F95" t="s">
        <v>151</v>
      </c>
    </row>
    <row r="96" spans="1:6">
      <c r="A96" s="5" t="s">
        <v>129</v>
      </c>
      <c r="B96" s="16">
        <v>46150</v>
      </c>
      <c r="C96" s="6" t="s">
        <v>24</v>
      </c>
      <c r="D96" s="31">
        <v>758.06</v>
      </c>
      <c r="E96" s="18" t="s">
        <v>590</v>
      </c>
      <c r="F96" t="s">
        <v>151</v>
      </c>
    </row>
    <row r="97" spans="1:6">
      <c r="A97" s="5" t="s">
        <v>130</v>
      </c>
      <c r="B97" s="16">
        <v>46150</v>
      </c>
      <c r="C97" s="6" t="s">
        <v>7</v>
      </c>
      <c r="D97" s="31">
        <v>2558.66</v>
      </c>
      <c r="E97" s="18" t="s">
        <v>590</v>
      </c>
      <c r="F97" t="s">
        <v>151</v>
      </c>
    </row>
    <row r="98" spans="1:6" ht="24">
      <c r="A98" s="5" t="s">
        <v>131</v>
      </c>
      <c r="B98" s="16">
        <v>46150</v>
      </c>
      <c r="C98" s="23" t="s">
        <v>14</v>
      </c>
      <c r="D98" s="31">
        <v>180.61</v>
      </c>
      <c r="E98" s="24" t="s">
        <v>590</v>
      </c>
      <c r="F98" t="s">
        <v>151</v>
      </c>
    </row>
    <row r="99" spans="1:6" ht="24">
      <c r="A99" s="5" t="s">
        <v>132</v>
      </c>
      <c r="B99" s="16">
        <v>46150</v>
      </c>
      <c r="C99" s="6" t="s">
        <v>14</v>
      </c>
      <c r="D99" s="31">
        <v>82.25</v>
      </c>
      <c r="E99" s="18" t="s">
        <v>590</v>
      </c>
      <c r="F99" t="s">
        <v>151</v>
      </c>
    </row>
    <row r="100" spans="1:6" ht="24">
      <c r="A100" s="5" t="s">
        <v>133</v>
      </c>
      <c r="B100" s="16">
        <v>46150</v>
      </c>
      <c r="C100" s="6" t="s">
        <v>14</v>
      </c>
      <c r="D100" s="31">
        <v>342.13</v>
      </c>
      <c r="E100" s="18" t="s">
        <v>590</v>
      </c>
      <c r="F100" t="s">
        <v>151</v>
      </c>
    </row>
    <row r="101" spans="1:6">
      <c r="A101" s="5" t="s">
        <v>188</v>
      </c>
      <c r="B101" s="16">
        <v>46150</v>
      </c>
      <c r="C101" s="6" t="s">
        <v>158</v>
      </c>
      <c r="D101" s="31">
        <v>150</v>
      </c>
      <c r="E101" s="18" t="s">
        <v>590</v>
      </c>
      <c r="F101" t="s">
        <v>151</v>
      </c>
    </row>
    <row r="102" spans="1:6">
      <c r="A102" s="5" t="s">
        <v>189</v>
      </c>
      <c r="B102" s="16">
        <v>46150</v>
      </c>
      <c r="C102" s="6" t="s">
        <v>159</v>
      </c>
      <c r="D102" s="31">
        <v>320</v>
      </c>
      <c r="E102" s="18" t="s">
        <v>590</v>
      </c>
      <c r="F102" t="s">
        <v>151</v>
      </c>
    </row>
    <row r="103" spans="1:6">
      <c r="A103" s="5" t="s">
        <v>190</v>
      </c>
      <c r="B103" s="16">
        <v>46150</v>
      </c>
      <c r="C103" s="6" t="s">
        <v>160</v>
      </c>
      <c r="D103" s="31">
        <v>220</v>
      </c>
      <c r="E103" s="18" t="s">
        <v>590</v>
      </c>
      <c r="F103" t="s">
        <v>151</v>
      </c>
    </row>
    <row r="104" spans="1:6">
      <c r="A104" s="5" t="s">
        <v>191</v>
      </c>
      <c r="B104" s="16">
        <v>46150</v>
      </c>
      <c r="C104" s="6" t="s">
        <v>159</v>
      </c>
      <c r="D104" s="31">
        <v>320</v>
      </c>
      <c r="E104" s="18" t="s">
        <v>590</v>
      </c>
      <c r="F104" t="s">
        <v>151</v>
      </c>
    </row>
    <row r="105" spans="1:6">
      <c r="A105" s="5" t="s">
        <v>192</v>
      </c>
      <c r="B105" s="16">
        <v>46150</v>
      </c>
      <c r="C105" s="6" t="s">
        <v>161</v>
      </c>
      <c r="D105" s="31">
        <v>150</v>
      </c>
      <c r="E105" s="18" t="s">
        <v>590</v>
      </c>
      <c r="F105" t="s">
        <v>151</v>
      </c>
    </row>
    <row r="106" spans="1:6">
      <c r="A106" s="5" t="s">
        <v>193</v>
      </c>
      <c r="B106" s="16">
        <v>46150</v>
      </c>
      <c r="C106" s="6" t="s">
        <v>162</v>
      </c>
      <c r="D106" s="31">
        <v>519.16999999999996</v>
      </c>
      <c r="E106" s="18" t="s">
        <v>590</v>
      </c>
      <c r="F106" t="s">
        <v>151</v>
      </c>
    </row>
    <row r="107" spans="1:6">
      <c r="A107" s="5" t="s">
        <v>194</v>
      </c>
      <c r="B107" s="16">
        <v>46150</v>
      </c>
      <c r="C107" s="6" t="s">
        <v>163</v>
      </c>
      <c r="D107" s="31">
        <v>761.45</v>
      </c>
      <c r="E107" s="18" t="s">
        <v>590</v>
      </c>
      <c r="F107" t="s">
        <v>151</v>
      </c>
    </row>
    <row r="108" spans="1:6">
      <c r="A108" s="5" t="s">
        <v>195</v>
      </c>
      <c r="B108" s="16">
        <v>46150</v>
      </c>
      <c r="C108" s="6" t="s">
        <v>25</v>
      </c>
      <c r="D108" s="31">
        <v>4680</v>
      </c>
      <c r="E108" s="18" t="s">
        <v>590</v>
      </c>
      <c r="F108" t="s">
        <v>151</v>
      </c>
    </row>
    <row r="109" spans="1:6">
      <c r="A109" s="5" t="s">
        <v>196</v>
      </c>
      <c r="B109" s="16">
        <v>46150</v>
      </c>
      <c r="C109" s="6" t="s">
        <v>25</v>
      </c>
      <c r="D109" s="31">
        <v>5200</v>
      </c>
      <c r="E109" s="18" t="s">
        <v>590</v>
      </c>
      <c r="F109" t="s">
        <v>151</v>
      </c>
    </row>
    <row r="110" spans="1:6">
      <c r="A110" s="5" t="s">
        <v>197</v>
      </c>
      <c r="B110" s="16">
        <v>46150</v>
      </c>
      <c r="C110" s="6" t="s">
        <v>173</v>
      </c>
      <c r="D110" s="31">
        <v>5314.33</v>
      </c>
      <c r="E110" s="18" t="s">
        <v>589</v>
      </c>
      <c r="F110" t="s">
        <v>151</v>
      </c>
    </row>
    <row r="111" spans="1:6">
      <c r="A111" s="5" t="s">
        <v>198</v>
      </c>
      <c r="B111" s="16">
        <v>46150</v>
      </c>
      <c r="C111" s="6" t="s">
        <v>19</v>
      </c>
      <c r="D111" s="31">
        <v>253.81</v>
      </c>
      <c r="E111" s="18" t="s">
        <v>589</v>
      </c>
      <c r="F111" t="s">
        <v>151</v>
      </c>
    </row>
    <row r="112" spans="1:6">
      <c r="A112" s="5" t="s">
        <v>199</v>
      </c>
      <c r="B112" s="16">
        <v>46150</v>
      </c>
      <c r="C112" s="6" t="s">
        <v>40</v>
      </c>
      <c r="D112" s="31">
        <v>1011</v>
      </c>
      <c r="E112" s="18" t="s">
        <v>589</v>
      </c>
      <c r="F112" t="s">
        <v>151</v>
      </c>
    </row>
    <row r="113" spans="1:6">
      <c r="A113" s="5" t="s">
        <v>338</v>
      </c>
      <c r="B113" s="16">
        <v>46150</v>
      </c>
      <c r="C113" s="6" t="s">
        <v>286</v>
      </c>
      <c r="D113" s="31">
        <v>5.54</v>
      </c>
      <c r="E113" s="18" t="s">
        <v>589</v>
      </c>
      <c r="F113" t="s">
        <v>151</v>
      </c>
    </row>
    <row r="114" spans="1:6">
      <c r="A114" s="5" t="s">
        <v>339</v>
      </c>
      <c r="B114" s="16">
        <v>46150</v>
      </c>
      <c r="C114" s="6" t="s">
        <v>286</v>
      </c>
      <c r="D114" s="31">
        <v>2.77</v>
      </c>
      <c r="E114" s="18" t="s">
        <v>589</v>
      </c>
      <c r="F114" t="s">
        <v>151</v>
      </c>
    </row>
    <row r="115" spans="1:6">
      <c r="A115" s="5" t="s">
        <v>340</v>
      </c>
      <c r="B115" s="16">
        <v>46150</v>
      </c>
      <c r="C115" s="6" t="s">
        <v>290</v>
      </c>
      <c r="D115" s="31">
        <v>1.5</v>
      </c>
      <c r="E115" s="18" t="s">
        <v>590</v>
      </c>
      <c r="F115" t="s">
        <v>151</v>
      </c>
    </row>
    <row r="116" spans="1:6">
      <c r="A116" s="5" t="s">
        <v>341</v>
      </c>
      <c r="B116" s="16">
        <v>46150</v>
      </c>
      <c r="C116" s="6" t="s">
        <v>294</v>
      </c>
      <c r="D116" s="31">
        <v>57.42</v>
      </c>
      <c r="E116" s="18" t="s">
        <v>590</v>
      </c>
      <c r="F116" t="s">
        <v>151</v>
      </c>
    </row>
    <row r="117" spans="1:6">
      <c r="A117" s="5" t="s">
        <v>342</v>
      </c>
      <c r="B117" s="16">
        <v>46150</v>
      </c>
      <c r="C117" s="6" t="s">
        <v>294</v>
      </c>
      <c r="D117" s="31">
        <v>56.69</v>
      </c>
      <c r="E117" s="18" t="s">
        <v>590</v>
      </c>
      <c r="F117" t="s">
        <v>151</v>
      </c>
    </row>
    <row r="118" spans="1:6">
      <c r="A118" s="5" t="s">
        <v>343</v>
      </c>
      <c r="B118" s="16">
        <v>46150</v>
      </c>
      <c r="C118" s="6" t="s">
        <v>294</v>
      </c>
      <c r="D118" s="31">
        <v>18.07</v>
      </c>
      <c r="E118" s="18" t="s">
        <v>590</v>
      </c>
      <c r="F118" t="s">
        <v>151</v>
      </c>
    </row>
    <row r="119" spans="1:6">
      <c r="A119" s="5" t="s">
        <v>200</v>
      </c>
      <c r="B119" s="16">
        <v>46151</v>
      </c>
      <c r="C119" s="6" t="s">
        <v>174</v>
      </c>
      <c r="D119" s="31">
        <v>7212.1</v>
      </c>
      <c r="E119" s="18" t="s">
        <v>589</v>
      </c>
      <c r="F119" t="s">
        <v>151</v>
      </c>
    </row>
    <row r="120" spans="1:6">
      <c r="A120" s="5" t="s">
        <v>201</v>
      </c>
      <c r="B120" s="16">
        <v>46151</v>
      </c>
      <c r="C120" s="6" t="s">
        <v>18</v>
      </c>
      <c r="D120" s="31">
        <v>100</v>
      </c>
      <c r="E120" s="18" t="s">
        <v>590</v>
      </c>
      <c r="F120" t="s">
        <v>151</v>
      </c>
    </row>
    <row r="121" spans="1:6">
      <c r="A121" s="5" t="s">
        <v>202</v>
      </c>
      <c r="B121" s="16">
        <v>46151</v>
      </c>
      <c r="C121" s="6" t="s">
        <v>164</v>
      </c>
      <c r="D121" s="31">
        <v>1900</v>
      </c>
      <c r="E121" s="18" t="s">
        <v>590</v>
      </c>
      <c r="F121" t="s">
        <v>151</v>
      </c>
    </row>
    <row r="122" spans="1:6">
      <c r="A122" s="5" t="s">
        <v>134</v>
      </c>
      <c r="B122" s="48">
        <v>46153</v>
      </c>
      <c r="C122" s="23" t="s">
        <v>56</v>
      </c>
      <c r="D122" s="31">
        <v>4350</v>
      </c>
      <c r="E122" s="24" t="s">
        <v>590</v>
      </c>
      <c r="F122" t="s">
        <v>151</v>
      </c>
    </row>
    <row r="123" spans="1:6">
      <c r="A123" s="5" t="s">
        <v>135</v>
      </c>
      <c r="B123" s="48">
        <v>46153</v>
      </c>
      <c r="C123" s="23" t="s">
        <v>57</v>
      </c>
      <c r="D123" s="31">
        <v>9046</v>
      </c>
      <c r="E123" s="18" t="s">
        <v>590</v>
      </c>
      <c r="F123" t="s">
        <v>151</v>
      </c>
    </row>
    <row r="124" spans="1:6">
      <c r="A124" s="5" t="s">
        <v>136</v>
      </c>
      <c r="B124" s="48">
        <v>46153</v>
      </c>
      <c r="C124" s="23" t="s">
        <v>58</v>
      </c>
      <c r="D124" s="31">
        <v>6882.5</v>
      </c>
      <c r="E124" s="18" t="s">
        <v>590</v>
      </c>
      <c r="F124" t="s">
        <v>151</v>
      </c>
    </row>
    <row r="125" spans="1:6">
      <c r="A125" s="5" t="s">
        <v>137</v>
      </c>
      <c r="B125" s="48">
        <v>46153</v>
      </c>
      <c r="C125" s="23" t="s">
        <v>59</v>
      </c>
      <c r="D125" s="31">
        <v>4786.55</v>
      </c>
      <c r="E125" s="18" t="s">
        <v>590</v>
      </c>
      <c r="F125" t="s">
        <v>151</v>
      </c>
    </row>
    <row r="126" spans="1:6">
      <c r="A126" s="5" t="s">
        <v>138</v>
      </c>
      <c r="B126" s="48">
        <v>46153</v>
      </c>
      <c r="C126" s="23" t="s">
        <v>60</v>
      </c>
      <c r="D126" s="31">
        <v>4215.83</v>
      </c>
      <c r="E126" s="18" t="s">
        <v>590</v>
      </c>
      <c r="F126" t="s">
        <v>151</v>
      </c>
    </row>
    <row r="127" spans="1:6">
      <c r="A127" s="5" t="s">
        <v>139</v>
      </c>
      <c r="B127" s="48">
        <v>46153</v>
      </c>
      <c r="C127" s="23" t="s">
        <v>61</v>
      </c>
      <c r="D127" s="31">
        <v>3206.4</v>
      </c>
      <c r="E127" s="18" t="s">
        <v>590</v>
      </c>
      <c r="F127" t="s">
        <v>151</v>
      </c>
    </row>
    <row r="128" spans="1:6">
      <c r="A128" s="5" t="s">
        <v>140</v>
      </c>
      <c r="B128" s="48">
        <v>46153</v>
      </c>
      <c r="C128" s="23" t="s">
        <v>62</v>
      </c>
      <c r="D128" s="31">
        <v>6777.75</v>
      </c>
      <c r="E128" s="18" t="s">
        <v>590</v>
      </c>
      <c r="F128" t="s">
        <v>151</v>
      </c>
    </row>
    <row r="129" spans="1:6">
      <c r="A129" s="5" t="s">
        <v>141</v>
      </c>
      <c r="B129" s="48">
        <v>46153</v>
      </c>
      <c r="C129" s="23" t="s">
        <v>63</v>
      </c>
      <c r="D129" s="31">
        <v>11706.5</v>
      </c>
      <c r="E129" s="18" t="s">
        <v>590</v>
      </c>
      <c r="F129" t="s">
        <v>151</v>
      </c>
    </row>
    <row r="130" spans="1:6">
      <c r="A130" s="5" t="s">
        <v>142</v>
      </c>
      <c r="B130" s="48">
        <v>46153</v>
      </c>
      <c r="C130" s="23" t="s">
        <v>64</v>
      </c>
      <c r="D130" s="31">
        <v>3600</v>
      </c>
      <c r="E130" s="18" t="s">
        <v>590</v>
      </c>
      <c r="F130" t="s">
        <v>151</v>
      </c>
    </row>
    <row r="131" spans="1:6" ht="24">
      <c r="A131" s="5" t="s">
        <v>143</v>
      </c>
      <c r="B131" s="48">
        <v>46153</v>
      </c>
      <c r="C131" s="6" t="s">
        <v>65</v>
      </c>
      <c r="D131" s="31">
        <v>2700</v>
      </c>
      <c r="E131" s="18" t="s">
        <v>590</v>
      </c>
      <c r="F131" t="s">
        <v>151</v>
      </c>
    </row>
    <row r="132" spans="1:6">
      <c r="A132" s="5" t="s">
        <v>144</v>
      </c>
      <c r="B132" s="48">
        <v>46153</v>
      </c>
      <c r="C132" s="6" t="s">
        <v>7</v>
      </c>
      <c r="D132" s="31">
        <v>1476.41</v>
      </c>
      <c r="E132" s="18" t="s">
        <v>590</v>
      </c>
      <c r="F132" t="s">
        <v>151</v>
      </c>
    </row>
    <row r="133" spans="1:6">
      <c r="A133" s="5" t="s">
        <v>145</v>
      </c>
      <c r="B133" s="48">
        <v>46153</v>
      </c>
      <c r="C133" s="6" t="s">
        <v>66</v>
      </c>
      <c r="D133" s="31">
        <v>9229</v>
      </c>
      <c r="E133" s="18" t="s">
        <v>590</v>
      </c>
      <c r="F133" t="s">
        <v>151</v>
      </c>
    </row>
    <row r="134" spans="1:6">
      <c r="A134" s="5" t="s">
        <v>146</v>
      </c>
      <c r="B134" s="48">
        <v>46153</v>
      </c>
      <c r="C134" s="6" t="s">
        <v>67</v>
      </c>
      <c r="D134" s="31">
        <v>5671.5</v>
      </c>
      <c r="E134" s="18" t="s">
        <v>590</v>
      </c>
      <c r="F134" t="s">
        <v>151</v>
      </c>
    </row>
    <row r="135" spans="1:6">
      <c r="A135" s="5" t="s">
        <v>147</v>
      </c>
      <c r="B135" s="48">
        <v>46153</v>
      </c>
      <c r="C135" s="6" t="s">
        <v>68</v>
      </c>
      <c r="D135" s="31">
        <v>14299</v>
      </c>
      <c r="E135" s="18" t="s">
        <v>590</v>
      </c>
      <c r="F135" t="s">
        <v>151</v>
      </c>
    </row>
    <row r="136" spans="1:6">
      <c r="A136" s="5" t="s">
        <v>148</v>
      </c>
      <c r="B136" s="48">
        <v>46153</v>
      </c>
      <c r="C136" s="6" t="s">
        <v>69</v>
      </c>
      <c r="D136" s="31">
        <v>4650</v>
      </c>
      <c r="E136" s="18" t="s">
        <v>590</v>
      </c>
      <c r="F136" t="s">
        <v>151</v>
      </c>
    </row>
    <row r="137" spans="1:6">
      <c r="A137" s="5" t="s">
        <v>203</v>
      </c>
      <c r="B137" s="48">
        <v>46153</v>
      </c>
      <c r="C137" s="6" t="s">
        <v>165</v>
      </c>
      <c r="D137" s="31">
        <v>245.57</v>
      </c>
      <c r="E137" s="18" t="s">
        <v>590</v>
      </c>
      <c r="F137" t="s">
        <v>151</v>
      </c>
    </row>
    <row r="138" spans="1:6">
      <c r="A138" s="5" t="s">
        <v>204</v>
      </c>
      <c r="B138" s="48">
        <v>46153</v>
      </c>
      <c r="C138" s="6" t="s">
        <v>166</v>
      </c>
      <c r="D138" s="31">
        <v>1000</v>
      </c>
      <c r="E138" s="18" t="s">
        <v>590</v>
      </c>
      <c r="F138" t="s">
        <v>151</v>
      </c>
    </row>
    <row r="139" spans="1:6">
      <c r="A139" s="5" t="s">
        <v>205</v>
      </c>
      <c r="B139" s="48">
        <v>46153</v>
      </c>
      <c r="C139" s="6" t="s">
        <v>40</v>
      </c>
      <c r="D139" s="31">
        <v>996</v>
      </c>
      <c r="E139" s="18" t="s">
        <v>590</v>
      </c>
      <c r="F139" t="s">
        <v>151</v>
      </c>
    </row>
    <row r="140" spans="1:6">
      <c r="A140" s="5" t="s">
        <v>206</v>
      </c>
      <c r="B140" s="48">
        <v>46153</v>
      </c>
      <c r="C140" s="6" t="s">
        <v>175</v>
      </c>
      <c r="D140" s="31">
        <v>13000</v>
      </c>
      <c r="E140" s="18" t="s">
        <v>589</v>
      </c>
      <c r="F140" t="s">
        <v>151</v>
      </c>
    </row>
    <row r="141" spans="1:6">
      <c r="A141" s="5" t="s">
        <v>207</v>
      </c>
      <c r="B141" s="48">
        <v>46153</v>
      </c>
      <c r="C141" s="6" t="s">
        <v>176</v>
      </c>
      <c r="D141" s="31">
        <v>160.72</v>
      </c>
      <c r="E141" s="18" t="s">
        <v>589</v>
      </c>
      <c r="F141" t="s">
        <v>151</v>
      </c>
    </row>
    <row r="142" spans="1:6">
      <c r="A142" s="5" t="s">
        <v>208</v>
      </c>
      <c r="B142" s="48">
        <v>46153</v>
      </c>
      <c r="C142" s="6" t="s">
        <v>177</v>
      </c>
      <c r="D142" s="31">
        <v>897</v>
      </c>
      <c r="E142" s="18" t="s">
        <v>589</v>
      </c>
      <c r="F142" t="s">
        <v>151</v>
      </c>
    </row>
    <row r="143" spans="1:6" ht="24">
      <c r="A143" s="5" t="s">
        <v>209</v>
      </c>
      <c r="B143" s="48">
        <v>46153</v>
      </c>
      <c r="C143" s="6" t="s">
        <v>178</v>
      </c>
      <c r="D143" s="31">
        <v>630</v>
      </c>
      <c r="E143" s="18" t="s">
        <v>589</v>
      </c>
      <c r="F143" t="s">
        <v>151</v>
      </c>
    </row>
    <row r="144" spans="1:6">
      <c r="A144" s="5" t="s">
        <v>210</v>
      </c>
      <c r="B144" s="48">
        <v>46153</v>
      </c>
      <c r="C144" s="6" t="s">
        <v>36</v>
      </c>
      <c r="D144" s="31">
        <v>348.46</v>
      </c>
      <c r="E144" s="18" t="s">
        <v>589</v>
      </c>
      <c r="F144" t="s">
        <v>151</v>
      </c>
    </row>
    <row r="145" spans="1:6" ht="24">
      <c r="A145" s="5" t="s">
        <v>211</v>
      </c>
      <c r="B145" s="48">
        <v>46153</v>
      </c>
      <c r="C145" s="6" t="s">
        <v>179</v>
      </c>
      <c r="D145" s="31">
        <v>319</v>
      </c>
      <c r="E145" s="18" t="s">
        <v>589</v>
      </c>
      <c r="F145" t="s">
        <v>151</v>
      </c>
    </row>
    <row r="146" spans="1:6">
      <c r="A146" s="5" t="s">
        <v>212</v>
      </c>
      <c r="B146" s="48">
        <v>46153</v>
      </c>
      <c r="C146" s="6" t="s">
        <v>35</v>
      </c>
      <c r="D146" s="31">
        <v>348.2</v>
      </c>
      <c r="E146" s="18" t="s">
        <v>589</v>
      </c>
      <c r="F146" t="s">
        <v>151</v>
      </c>
    </row>
    <row r="147" spans="1:6">
      <c r="A147" s="5" t="s">
        <v>213</v>
      </c>
      <c r="B147" s="48">
        <v>46153</v>
      </c>
      <c r="C147" s="6" t="s">
        <v>180</v>
      </c>
      <c r="D147" s="31">
        <v>640.9</v>
      </c>
      <c r="E147" s="18" t="s">
        <v>589</v>
      </c>
      <c r="F147" t="s">
        <v>151</v>
      </c>
    </row>
    <row r="148" spans="1:6">
      <c r="A148" s="5" t="s">
        <v>214</v>
      </c>
      <c r="B148" s="48">
        <v>46153</v>
      </c>
      <c r="C148" s="6" t="s">
        <v>181</v>
      </c>
      <c r="D148" s="31">
        <v>218.68</v>
      </c>
      <c r="E148" s="18" t="s">
        <v>589</v>
      </c>
      <c r="F148" t="s">
        <v>151</v>
      </c>
    </row>
    <row r="149" spans="1:6">
      <c r="A149" s="5" t="s">
        <v>215</v>
      </c>
      <c r="B149" s="48">
        <v>46153</v>
      </c>
      <c r="C149" s="6" t="s">
        <v>177</v>
      </c>
      <c r="D149" s="31">
        <v>341.61</v>
      </c>
      <c r="E149" s="18" t="s">
        <v>589</v>
      </c>
      <c r="F149" t="s">
        <v>151</v>
      </c>
    </row>
    <row r="150" spans="1:6">
      <c r="A150" s="5" t="s">
        <v>216</v>
      </c>
      <c r="B150" s="48">
        <v>46153</v>
      </c>
      <c r="C150" s="6" t="s">
        <v>182</v>
      </c>
      <c r="D150" s="31">
        <v>542.45000000000005</v>
      </c>
      <c r="E150" s="18" t="s">
        <v>589</v>
      </c>
      <c r="F150" t="s">
        <v>151</v>
      </c>
    </row>
    <row r="151" spans="1:6">
      <c r="A151" s="5" t="s">
        <v>261</v>
      </c>
      <c r="B151" s="48">
        <v>46153</v>
      </c>
      <c r="C151" s="6" t="s">
        <v>249</v>
      </c>
      <c r="D151" s="31">
        <v>400</v>
      </c>
      <c r="E151" s="18" t="s">
        <v>590</v>
      </c>
      <c r="F151" t="s">
        <v>151</v>
      </c>
    </row>
    <row r="152" spans="1:6">
      <c r="A152" s="5" t="s">
        <v>344</v>
      </c>
      <c r="B152" s="48">
        <v>46153</v>
      </c>
      <c r="C152" s="6" t="s">
        <v>285</v>
      </c>
      <c r="D152" s="31">
        <v>45</v>
      </c>
      <c r="E152" s="18" t="s">
        <v>589</v>
      </c>
      <c r="F152" t="s">
        <v>151</v>
      </c>
    </row>
    <row r="153" spans="1:6">
      <c r="A153" s="5" t="s">
        <v>345</v>
      </c>
      <c r="B153" s="48">
        <v>46153</v>
      </c>
      <c r="C153" s="6" t="s">
        <v>287</v>
      </c>
      <c r="D153" s="31">
        <v>70.48</v>
      </c>
      <c r="E153" s="18" t="s">
        <v>589</v>
      </c>
      <c r="F153" t="s">
        <v>151</v>
      </c>
    </row>
    <row r="154" spans="1:6">
      <c r="A154" s="5" t="s">
        <v>346</v>
      </c>
      <c r="B154" s="48">
        <v>46153</v>
      </c>
      <c r="C154" s="6" t="s">
        <v>286</v>
      </c>
      <c r="D154" s="31">
        <v>5.54</v>
      </c>
      <c r="E154" s="18" t="s">
        <v>589</v>
      </c>
      <c r="F154" t="s">
        <v>151</v>
      </c>
    </row>
    <row r="155" spans="1:6">
      <c r="A155" s="5" t="s">
        <v>347</v>
      </c>
      <c r="B155" s="48">
        <v>46153</v>
      </c>
      <c r="C155" s="6" t="s">
        <v>290</v>
      </c>
      <c r="D155" s="31">
        <v>4.58</v>
      </c>
      <c r="E155" s="18" t="s">
        <v>590</v>
      </c>
      <c r="F155" t="s">
        <v>151</v>
      </c>
    </row>
    <row r="156" spans="1:6">
      <c r="A156" s="5" t="s">
        <v>348</v>
      </c>
      <c r="B156" s="48">
        <v>46153</v>
      </c>
      <c r="C156" s="6" t="s">
        <v>290</v>
      </c>
      <c r="D156" s="31">
        <v>0.42</v>
      </c>
      <c r="E156" s="18" t="s">
        <v>590</v>
      </c>
      <c r="F156" t="s">
        <v>151</v>
      </c>
    </row>
    <row r="157" spans="1:6">
      <c r="A157" s="5" t="s">
        <v>524</v>
      </c>
      <c r="B157" s="48">
        <v>46153</v>
      </c>
      <c r="C157" s="6" t="s">
        <v>515</v>
      </c>
      <c r="D157" s="31">
        <v>7935.36</v>
      </c>
      <c r="E157" s="18" t="s">
        <v>590</v>
      </c>
      <c r="F157" t="s">
        <v>151</v>
      </c>
    </row>
    <row r="158" spans="1:6">
      <c r="A158" s="5" t="s">
        <v>217</v>
      </c>
      <c r="B158" s="48">
        <v>46154</v>
      </c>
      <c r="C158" s="6" t="s">
        <v>183</v>
      </c>
      <c r="D158" s="31">
        <v>2500</v>
      </c>
      <c r="E158" s="18" t="s">
        <v>589</v>
      </c>
      <c r="F158" t="s">
        <v>151</v>
      </c>
    </row>
    <row r="159" spans="1:6">
      <c r="A159" s="5" t="s">
        <v>218</v>
      </c>
      <c r="B159" s="48">
        <v>46154</v>
      </c>
      <c r="C159" s="6" t="s">
        <v>167</v>
      </c>
      <c r="D159" s="31">
        <v>53.7</v>
      </c>
      <c r="E159" s="18" t="s">
        <v>590</v>
      </c>
      <c r="F159" t="s">
        <v>151</v>
      </c>
    </row>
    <row r="160" spans="1:6">
      <c r="A160" s="5" t="s">
        <v>219</v>
      </c>
      <c r="B160" s="48">
        <v>46154</v>
      </c>
      <c r="C160" s="6" t="s">
        <v>24</v>
      </c>
      <c r="D160" s="31">
        <v>600</v>
      </c>
      <c r="E160" s="18" t="s">
        <v>590</v>
      </c>
      <c r="F160" t="s">
        <v>151</v>
      </c>
    </row>
    <row r="161" spans="1:6">
      <c r="A161" s="5" t="s">
        <v>220</v>
      </c>
      <c r="B161" s="48">
        <v>46154</v>
      </c>
      <c r="C161" s="6" t="s">
        <v>168</v>
      </c>
      <c r="D161" s="31">
        <v>4277.5</v>
      </c>
      <c r="E161" s="18" t="s">
        <v>590</v>
      </c>
      <c r="F161" t="s">
        <v>151</v>
      </c>
    </row>
    <row r="162" spans="1:6">
      <c r="A162" s="5" t="s">
        <v>221</v>
      </c>
      <c r="B162" s="48">
        <v>46154</v>
      </c>
      <c r="C162" s="6" t="s">
        <v>170</v>
      </c>
      <c r="D162" s="31">
        <v>150</v>
      </c>
      <c r="E162" s="18" t="s">
        <v>590</v>
      </c>
      <c r="F162" t="s">
        <v>151</v>
      </c>
    </row>
    <row r="163" spans="1:6" ht="24">
      <c r="A163" s="5" t="s">
        <v>222</v>
      </c>
      <c r="B163" s="48">
        <v>46154</v>
      </c>
      <c r="C163" s="6" t="s">
        <v>171</v>
      </c>
      <c r="D163" s="31">
        <v>20</v>
      </c>
      <c r="E163" s="18" t="s">
        <v>590</v>
      </c>
      <c r="F163" t="s">
        <v>151</v>
      </c>
    </row>
    <row r="164" spans="1:6">
      <c r="A164" s="5" t="s">
        <v>223</v>
      </c>
      <c r="B164" s="48">
        <v>46154</v>
      </c>
      <c r="C164" s="6" t="s">
        <v>172</v>
      </c>
      <c r="D164" s="31">
        <v>799.99</v>
      </c>
      <c r="E164" s="18" t="s">
        <v>590</v>
      </c>
      <c r="F164" t="s">
        <v>151</v>
      </c>
    </row>
    <row r="165" spans="1:6">
      <c r="A165" s="5" t="s">
        <v>224</v>
      </c>
      <c r="B165" s="48">
        <v>46154</v>
      </c>
      <c r="C165" s="6" t="s">
        <v>19</v>
      </c>
      <c r="D165" s="31">
        <v>480.01</v>
      </c>
      <c r="E165" s="18" t="s">
        <v>590</v>
      </c>
      <c r="F165" t="s">
        <v>151</v>
      </c>
    </row>
    <row r="166" spans="1:6">
      <c r="A166" s="5" t="s">
        <v>225</v>
      </c>
      <c r="B166" s="48">
        <v>46154</v>
      </c>
      <c r="C166" s="6" t="s">
        <v>24</v>
      </c>
      <c r="D166" s="31">
        <v>600</v>
      </c>
      <c r="E166" s="18" t="s">
        <v>590</v>
      </c>
      <c r="F166" t="s">
        <v>151</v>
      </c>
    </row>
    <row r="167" spans="1:6">
      <c r="A167" s="5" t="s">
        <v>149</v>
      </c>
      <c r="B167" s="48">
        <v>46154</v>
      </c>
      <c r="C167" s="6" t="s">
        <v>7</v>
      </c>
      <c r="D167" s="31">
        <v>886.47</v>
      </c>
      <c r="E167" s="18" t="s">
        <v>590</v>
      </c>
      <c r="F167" t="s">
        <v>151</v>
      </c>
    </row>
    <row r="168" spans="1:6">
      <c r="A168" s="5" t="s">
        <v>226</v>
      </c>
      <c r="B168" s="48">
        <v>46154</v>
      </c>
      <c r="C168" s="6" t="s">
        <v>153</v>
      </c>
      <c r="D168" s="31">
        <v>7092.5</v>
      </c>
      <c r="E168" s="18" t="s">
        <v>590</v>
      </c>
      <c r="F168" t="s">
        <v>151</v>
      </c>
    </row>
    <row r="169" spans="1:6">
      <c r="A169" s="5" t="s">
        <v>227</v>
      </c>
      <c r="B169" s="48">
        <v>46154</v>
      </c>
      <c r="C169" s="6" t="s">
        <v>154</v>
      </c>
      <c r="D169" s="31">
        <v>3872.53</v>
      </c>
      <c r="E169" s="18" t="s">
        <v>590</v>
      </c>
      <c r="F169" t="s">
        <v>151</v>
      </c>
    </row>
    <row r="170" spans="1:6">
      <c r="A170" s="5" t="s">
        <v>228</v>
      </c>
      <c r="B170" s="48">
        <v>46154</v>
      </c>
      <c r="C170" s="6" t="s">
        <v>155</v>
      </c>
      <c r="D170" s="31">
        <v>3493.88</v>
      </c>
      <c r="E170" s="18" t="s">
        <v>590</v>
      </c>
      <c r="F170" t="s">
        <v>151</v>
      </c>
    </row>
    <row r="171" spans="1:6">
      <c r="A171" s="5" t="s">
        <v>229</v>
      </c>
      <c r="B171" s="48">
        <v>46154</v>
      </c>
      <c r="C171" s="6" t="s">
        <v>156</v>
      </c>
      <c r="D171" s="31">
        <v>4713.8</v>
      </c>
      <c r="E171" s="18" t="s">
        <v>590</v>
      </c>
      <c r="F171" t="s">
        <v>151</v>
      </c>
    </row>
    <row r="172" spans="1:6">
      <c r="A172" s="5" t="s">
        <v>230</v>
      </c>
      <c r="B172" s="48">
        <v>46154</v>
      </c>
      <c r="C172" s="6" t="s">
        <v>184</v>
      </c>
      <c r="D172" s="31">
        <v>216.67</v>
      </c>
      <c r="E172" s="18" t="s">
        <v>589</v>
      </c>
      <c r="F172" t="s">
        <v>151</v>
      </c>
    </row>
    <row r="173" spans="1:6">
      <c r="A173" s="5" t="s">
        <v>261</v>
      </c>
      <c r="B173" s="48">
        <v>46154</v>
      </c>
      <c r="C173" s="6" t="s">
        <v>250</v>
      </c>
      <c r="D173" s="31">
        <v>38</v>
      </c>
      <c r="E173" s="18" t="s">
        <v>590</v>
      </c>
      <c r="F173" t="s">
        <v>151</v>
      </c>
    </row>
    <row r="174" spans="1:6">
      <c r="A174" s="5" t="s">
        <v>349</v>
      </c>
      <c r="B174" s="48">
        <v>46154</v>
      </c>
      <c r="C174" s="6" t="s">
        <v>286</v>
      </c>
      <c r="D174" s="31">
        <v>13.85</v>
      </c>
      <c r="E174" s="18" t="s">
        <v>589</v>
      </c>
      <c r="F174" t="s">
        <v>151</v>
      </c>
    </row>
    <row r="175" spans="1:6">
      <c r="A175" s="5" t="s">
        <v>350</v>
      </c>
      <c r="B175" s="48">
        <v>46154</v>
      </c>
      <c r="C175" s="6" t="s">
        <v>290</v>
      </c>
      <c r="D175" s="31">
        <v>7.66</v>
      </c>
      <c r="E175" s="18" t="s">
        <v>590</v>
      </c>
      <c r="F175" t="s">
        <v>151</v>
      </c>
    </row>
    <row r="176" spans="1:6">
      <c r="A176" s="5" t="s">
        <v>351</v>
      </c>
      <c r="B176" s="48">
        <v>46154</v>
      </c>
      <c r="C176" s="6" t="s">
        <v>286</v>
      </c>
      <c r="D176" s="31">
        <v>8.31</v>
      </c>
      <c r="E176" s="18" t="s">
        <v>590</v>
      </c>
      <c r="F176" t="s">
        <v>151</v>
      </c>
    </row>
    <row r="177" spans="1:6">
      <c r="A177" s="5" t="s">
        <v>231</v>
      </c>
      <c r="B177" s="48">
        <v>46155</v>
      </c>
      <c r="C177" s="6" t="s">
        <v>7</v>
      </c>
      <c r="D177" s="31">
        <v>2215.4899999999998</v>
      </c>
      <c r="E177" s="18" t="s">
        <v>590</v>
      </c>
      <c r="F177" t="s">
        <v>151</v>
      </c>
    </row>
    <row r="178" spans="1:6">
      <c r="A178" s="5" t="s">
        <v>239</v>
      </c>
      <c r="B178" s="16">
        <v>46155</v>
      </c>
      <c r="C178" s="6" t="s">
        <v>232</v>
      </c>
      <c r="D178" s="31">
        <v>9201.9</v>
      </c>
      <c r="E178" s="18" t="s">
        <v>590</v>
      </c>
      <c r="F178" t="s">
        <v>151</v>
      </c>
    </row>
    <row r="179" spans="1:6">
      <c r="A179" s="5" t="s">
        <v>240</v>
      </c>
      <c r="B179" s="16">
        <v>46155</v>
      </c>
      <c r="C179" s="6" t="s">
        <v>233</v>
      </c>
      <c r="D179" s="31">
        <v>6221</v>
      </c>
      <c r="E179" s="18" t="s">
        <v>590</v>
      </c>
      <c r="F179" t="s">
        <v>151</v>
      </c>
    </row>
    <row r="180" spans="1:6">
      <c r="A180" s="5" t="s">
        <v>241</v>
      </c>
      <c r="B180" s="16">
        <v>46155</v>
      </c>
      <c r="C180" s="6" t="s">
        <v>234</v>
      </c>
      <c r="D180" s="31">
        <v>10189.08</v>
      </c>
      <c r="E180" s="18" t="s">
        <v>590</v>
      </c>
      <c r="F180" t="s">
        <v>151</v>
      </c>
    </row>
    <row r="181" spans="1:6">
      <c r="A181" s="5" t="s">
        <v>242</v>
      </c>
      <c r="B181" s="16">
        <v>46155</v>
      </c>
      <c r="C181" s="6" t="s">
        <v>235</v>
      </c>
      <c r="D181" s="31">
        <v>4500</v>
      </c>
      <c r="E181" s="18" t="s">
        <v>590</v>
      </c>
      <c r="F181" t="s">
        <v>151</v>
      </c>
    </row>
    <row r="182" spans="1:6">
      <c r="A182" s="5" t="s">
        <v>243</v>
      </c>
      <c r="B182" s="16">
        <v>46155</v>
      </c>
      <c r="C182" s="6" t="s">
        <v>236</v>
      </c>
      <c r="D182" s="31">
        <v>3838.5</v>
      </c>
      <c r="E182" s="18" t="s">
        <v>590</v>
      </c>
      <c r="F182" t="s">
        <v>151</v>
      </c>
    </row>
    <row r="183" spans="1:6">
      <c r="A183" s="5" t="s">
        <v>244</v>
      </c>
      <c r="B183" s="16">
        <v>46155</v>
      </c>
      <c r="C183" s="6" t="s">
        <v>237</v>
      </c>
      <c r="D183" s="31">
        <v>8985</v>
      </c>
      <c r="E183" s="18" t="s">
        <v>590</v>
      </c>
      <c r="F183" t="s">
        <v>151</v>
      </c>
    </row>
    <row r="184" spans="1:6">
      <c r="A184" s="5" t="s">
        <v>245</v>
      </c>
      <c r="B184" s="16">
        <v>46155</v>
      </c>
      <c r="C184" s="6" t="s">
        <v>238</v>
      </c>
      <c r="D184" s="31">
        <v>3602</v>
      </c>
      <c r="E184" s="18" t="s">
        <v>590</v>
      </c>
      <c r="F184" t="s">
        <v>151</v>
      </c>
    </row>
    <row r="185" spans="1:6">
      <c r="A185" s="7" t="s">
        <v>352</v>
      </c>
      <c r="B185" s="16">
        <v>46155</v>
      </c>
      <c r="C185" s="18" t="s">
        <v>7</v>
      </c>
      <c r="D185" s="31">
        <v>1069.4100000000001</v>
      </c>
      <c r="E185" s="18" t="s">
        <v>590</v>
      </c>
      <c r="F185" t="s">
        <v>151</v>
      </c>
    </row>
    <row r="186" spans="1:6">
      <c r="A186" s="7" t="s">
        <v>353</v>
      </c>
      <c r="B186" s="16">
        <v>46155</v>
      </c>
      <c r="C186" s="8" t="s">
        <v>251</v>
      </c>
      <c r="D186" s="32">
        <v>359.3</v>
      </c>
      <c r="E186" s="18" t="s">
        <v>590</v>
      </c>
      <c r="F186" t="s">
        <v>151</v>
      </c>
    </row>
    <row r="187" spans="1:6">
      <c r="A187" s="5" t="s">
        <v>354</v>
      </c>
      <c r="B187" s="16">
        <v>46155</v>
      </c>
      <c r="C187" s="6" t="s">
        <v>19</v>
      </c>
      <c r="D187" s="31">
        <v>200</v>
      </c>
      <c r="E187" s="18" t="s">
        <v>590</v>
      </c>
      <c r="F187" t="s">
        <v>151</v>
      </c>
    </row>
    <row r="188" spans="1:6">
      <c r="A188" s="5" t="s">
        <v>355</v>
      </c>
      <c r="B188" s="16">
        <v>46155</v>
      </c>
      <c r="C188" s="6" t="s">
        <v>40</v>
      </c>
      <c r="D188" s="31">
        <v>600</v>
      </c>
      <c r="E188" s="18" t="s">
        <v>590</v>
      </c>
      <c r="F188" t="s">
        <v>151</v>
      </c>
    </row>
    <row r="189" spans="1:6">
      <c r="A189" s="5" t="s">
        <v>356</v>
      </c>
      <c r="B189" s="16">
        <v>46155</v>
      </c>
      <c r="C189" s="6" t="s">
        <v>252</v>
      </c>
      <c r="D189" s="31">
        <v>50</v>
      </c>
      <c r="E189" s="18" t="s">
        <v>590</v>
      </c>
      <c r="F189" t="s">
        <v>151</v>
      </c>
    </row>
    <row r="190" spans="1:6">
      <c r="A190" s="5" t="s">
        <v>357</v>
      </c>
      <c r="B190" s="16">
        <v>46155</v>
      </c>
      <c r="C190" s="6" t="s">
        <v>18</v>
      </c>
      <c r="D190" s="31">
        <v>50</v>
      </c>
      <c r="E190" s="18" t="s">
        <v>590</v>
      </c>
      <c r="F190" t="s">
        <v>151</v>
      </c>
    </row>
    <row r="191" spans="1:6">
      <c r="A191" s="5" t="s">
        <v>358</v>
      </c>
      <c r="B191" s="16">
        <v>46155</v>
      </c>
      <c r="C191" s="23" t="s">
        <v>167</v>
      </c>
      <c r="D191" s="31">
        <v>50</v>
      </c>
      <c r="E191" s="18" t="s">
        <v>590</v>
      </c>
      <c r="F191" t="s">
        <v>151</v>
      </c>
    </row>
    <row r="192" spans="1:6">
      <c r="A192" s="5" t="s">
        <v>359</v>
      </c>
      <c r="B192" s="16">
        <v>46155</v>
      </c>
      <c r="C192" s="23" t="s">
        <v>257</v>
      </c>
      <c r="D192" s="31">
        <v>305</v>
      </c>
      <c r="E192" s="18" t="s">
        <v>589</v>
      </c>
      <c r="F192" t="s">
        <v>151</v>
      </c>
    </row>
    <row r="193" spans="1:6">
      <c r="A193" s="5" t="s">
        <v>360</v>
      </c>
      <c r="B193" s="16">
        <v>46155</v>
      </c>
      <c r="C193" s="23" t="s">
        <v>259</v>
      </c>
      <c r="D193" s="31">
        <v>7404</v>
      </c>
      <c r="E193" s="18" t="s">
        <v>589</v>
      </c>
      <c r="F193" t="s">
        <v>151</v>
      </c>
    </row>
    <row r="194" spans="1:6">
      <c r="A194" s="5" t="s">
        <v>361</v>
      </c>
      <c r="B194" s="16">
        <v>46155</v>
      </c>
      <c r="C194" s="23" t="s">
        <v>286</v>
      </c>
      <c r="D194" s="31">
        <v>2.77</v>
      </c>
      <c r="E194" s="18" t="s">
        <v>589</v>
      </c>
      <c r="F194" t="s">
        <v>151</v>
      </c>
    </row>
    <row r="195" spans="1:6">
      <c r="A195" s="5" t="s">
        <v>362</v>
      </c>
      <c r="B195" s="16">
        <v>46155</v>
      </c>
      <c r="C195" s="23" t="s">
        <v>290</v>
      </c>
      <c r="D195" s="31">
        <v>1.57</v>
      </c>
      <c r="E195" s="18" t="s">
        <v>590</v>
      </c>
      <c r="F195" t="s">
        <v>151</v>
      </c>
    </row>
    <row r="196" spans="1:6">
      <c r="A196" s="5" t="s">
        <v>363</v>
      </c>
      <c r="B196" s="16">
        <v>46155</v>
      </c>
      <c r="C196" s="23" t="s">
        <v>286</v>
      </c>
      <c r="D196" s="31">
        <v>5.54</v>
      </c>
      <c r="E196" s="18" t="s">
        <v>590</v>
      </c>
      <c r="F196" t="s">
        <v>151</v>
      </c>
    </row>
    <row r="197" spans="1:6">
      <c r="A197" s="5" t="s">
        <v>464</v>
      </c>
      <c r="B197" s="16">
        <v>46155</v>
      </c>
      <c r="C197" s="23" t="s">
        <v>450</v>
      </c>
      <c r="D197" s="31">
        <v>760</v>
      </c>
      <c r="E197" s="18" t="s">
        <v>590</v>
      </c>
      <c r="F197" t="s">
        <v>151</v>
      </c>
    </row>
    <row r="198" spans="1:6">
      <c r="A198" s="5" t="s">
        <v>364</v>
      </c>
      <c r="B198" s="16">
        <v>46156</v>
      </c>
      <c r="C198" s="23" t="s">
        <v>290</v>
      </c>
      <c r="D198" s="31">
        <v>3.64</v>
      </c>
      <c r="E198" s="18" t="s">
        <v>590</v>
      </c>
      <c r="F198" t="s">
        <v>151</v>
      </c>
    </row>
    <row r="199" spans="1:6">
      <c r="A199" s="5" t="s">
        <v>366</v>
      </c>
      <c r="B199" s="16">
        <v>46156</v>
      </c>
      <c r="C199" s="23" t="s">
        <v>365</v>
      </c>
      <c r="D199" s="31">
        <v>12</v>
      </c>
      <c r="E199" s="18" t="s">
        <v>590</v>
      </c>
      <c r="F199" t="s">
        <v>151</v>
      </c>
    </row>
    <row r="200" spans="1:6">
      <c r="A200" s="5" t="s">
        <v>367</v>
      </c>
      <c r="B200" s="16">
        <v>46156</v>
      </c>
      <c r="C200" s="23" t="s">
        <v>55</v>
      </c>
      <c r="D200" s="31">
        <v>18785.88</v>
      </c>
      <c r="E200" s="18" t="s">
        <v>589</v>
      </c>
      <c r="F200" t="s">
        <v>151</v>
      </c>
    </row>
    <row r="201" spans="1:6">
      <c r="A201" s="5" t="s">
        <v>368</v>
      </c>
      <c r="B201" s="16">
        <v>46156</v>
      </c>
      <c r="C201" s="23" t="s">
        <v>253</v>
      </c>
      <c r="D201" s="31">
        <v>320</v>
      </c>
      <c r="E201" s="18" t="s">
        <v>590</v>
      </c>
      <c r="F201" t="s">
        <v>151</v>
      </c>
    </row>
    <row r="202" spans="1:6" ht="24">
      <c r="A202" s="5" t="s">
        <v>369</v>
      </c>
      <c r="B202" s="16">
        <v>46156</v>
      </c>
      <c r="C202" s="23" t="s">
        <v>254</v>
      </c>
      <c r="D202" s="31">
        <v>500</v>
      </c>
      <c r="E202" s="18" t="s">
        <v>590</v>
      </c>
      <c r="F202" t="s">
        <v>151</v>
      </c>
    </row>
    <row r="203" spans="1:6">
      <c r="A203" s="5" t="s">
        <v>370</v>
      </c>
      <c r="B203" s="16">
        <v>46156</v>
      </c>
      <c r="C203" s="23" t="s">
        <v>253</v>
      </c>
      <c r="D203" s="31">
        <v>1270</v>
      </c>
      <c r="E203" s="18" t="s">
        <v>590</v>
      </c>
      <c r="F203" t="s">
        <v>151</v>
      </c>
    </row>
    <row r="204" spans="1:6">
      <c r="A204" s="5" t="s">
        <v>371</v>
      </c>
      <c r="B204" s="16">
        <v>46156</v>
      </c>
      <c r="C204" s="6" t="s">
        <v>255</v>
      </c>
      <c r="D204" s="31">
        <v>3000</v>
      </c>
      <c r="E204" s="18" t="s">
        <v>590</v>
      </c>
      <c r="F204" t="s">
        <v>151</v>
      </c>
    </row>
    <row r="205" spans="1:6">
      <c r="A205" s="20" t="s">
        <v>372</v>
      </c>
      <c r="B205" s="48">
        <v>46156</v>
      </c>
      <c r="C205" s="6" t="s">
        <v>40</v>
      </c>
      <c r="D205" s="31">
        <v>996.01</v>
      </c>
      <c r="E205" s="11" t="s">
        <v>590</v>
      </c>
      <c r="F205" t="s">
        <v>151</v>
      </c>
    </row>
    <row r="206" spans="1:6">
      <c r="A206" s="5" t="s">
        <v>373</v>
      </c>
      <c r="B206" s="49">
        <v>46156</v>
      </c>
      <c r="C206" s="6" t="s">
        <v>18</v>
      </c>
      <c r="D206" s="31">
        <v>3726.34</v>
      </c>
      <c r="E206" s="11" t="s">
        <v>590</v>
      </c>
      <c r="F206" t="s">
        <v>151</v>
      </c>
    </row>
    <row r="207" spans="1:6">
      <c r="A207" s="5" t="s">
        <v>374</v>
      </c>
      <c r="B207" s="49">
        <v>46156</v>
      </c>
      <c r="C207" s="6" t="s">
        <v>262</v>
      </c>
      <c r="D207" s="31">
        <v>6312.2</v>
      </c>
      <c r="E207" s="11" t="s">
        <v>590</v>
      </c>
      <c r="F207" t="s">
        <v>151</v>
      </c>
    </row>
    <row r="208" spans="1:6">
      <c r="A208" s="5" t="s">
        <v>375</v>
      </c>
      <c r="B208" s="49">
        <v>46156</v>
      </c>
      <c r="C208" s="6" t="s">
        <v>263</v>
      </c>
      <c r="D208" s="31">
        <v>3600</v>
      </c>
      <c r="E208" s="11" t="s">
        <v>590</v>
      </c>
      <c r="F208" t="s">
        <v>151</v>
      </c>
    </row>
    <row r="209" spans="1:6">
      <c r="A209" s="5" t="s">
        <v>376</v>
      </c>
      <c r="B209" s="49">
        <v>46156</v>
      </c>
      <c r="C209" s="6" t="s">
        <v>264</v>
      </c>
      <c r="D209" s="31">
        <v>6312.2</v>
      </c>
      <c r="E209" s="11" t="s">
        <v>590</v>
      </c>
      <c r="F209" t="s">
        <v>151</v>
      </c>
    </row>
    <row r="210" spans="1:6">
      <c r="A210" s="5" t="s">
        <v>377</v>
      </c>
      <c r="B210" s="49">
        <v>46156</v>
      </c>
      <c r="C210" s="6" t="s">
        <v>265</v>
      </c>
      <c r="D210" s="31">
        <v>10595.5</v>
      </c>
      <c r="E210" s="11" t="s">
        <v>590</v>
      </c>
      <c r="F210" t="s">
        <v>151</v>
      </c>
    </row>
    <row r="211" spans="1:6">
      <c r="A211" s="5" t="s">
        <v>378</v>
      </c>
      <c r="B211" s="49">
        <v>46156</v>
      </c>
      <c r="C211" s="6" t="s">
        <v>266</v>
      </c>
      <c r="D211" s="31">
        <v>2650</v>
      </c>
      <c r="E211" s="11" t="s">
        <v>590</v>
      </c>
      <c r="F211" t="s">
        <v>151</v>
      </c>
    </row>
    <row r="212" spans="1:6">
      <c r="A212" s="5" t="s">
        <v>379</v>
      </c>
      <c r="B212" s="49">
        <v>46156</v>
      </c>
      <c r="C212" s="6" t="s">
        <v>274</v>
      </c>
      <c r="D212" s="31">
        <v>53</v>
      </c>
      <c r="E212" s="11" t="s">
        <v>590</v>
      </c>
      <c r="F212" t="s">
        <v>151</v>
      </c>
    </row>
    <row r="213" spans="1:6">
      <c r="A213" s="5" t="s">
        <v>380</v>
      </c>
      <c r="B213" s="49">
        <v>46156</v>
      </c>
      <c r="C213" s="6" t="s">
        <v>286</v>
      </c>
      <c r="D213" s="31">
        <v>5.54</v>
      </c>
      <c r="E213" s="11" t="s">
        <v>589</v>
      </c>
      <c r="F213" t="s">
        <v>151</v>
      </c>
    </row>
    <row r="214" spans="1:6">
      <c r="A214" s="5" t="s">
        <v>381</v>
      </c>
      <c r="B214" s="49">
        <v>46156</v>
      </c>
      <c r="C214" s="6" t="s">
        <v>294</v>
      </c>
      <c r="D214" s="31">
        <v>145.26</v>
      </c>
      <c r="E214" s="11" t="s">
        <v>590</v>
      </c>
      <c r="F214" t="s">
        <v>151</v>
      </c>
    </row>
    <row r="215" spans="1:6">
      <c r="A215" s="5" t="s">
        <v>382</v>
      </c>
      <c r="B215" s="49">
        <v>46156</v>
      </c>
      <c r="C215" s="6" t="s">
        <v>286</v>
      </c>
      <c r="D215" s="31">
        <v>8.31</v>
      </c>
      <c r="E215" s="11" t="s">
        <v>590</v>
      </c>
      <c r="F215" t="s">
        <v>151</v>
      </c>
    </row>
    <row r="216" spans="1:6">
      <c r="A216" s="5" t="s">
        <v>465</v>
      </c>
      <c r="B216" s="49">
        <v>46156</v>
      </c>
      <c r="C216" s="6" t="s">
        <v>19</v>
      </c>
      <c r="D216" s="31">
        <v>586</v>
      </c>
      <c r="E216" s="11" t="s">
        <v>590</v>
      </c>
      <c r="F216" t="s">
        <v>151</v>
      </c>
    </row>
    <row r="217" spans="1:6">
      <c r="A217" s="5" t="s">
        <v>383</v>
      </c>
      <c r="B217" s="49">
        <v>46157</v>
      </c>
      <c r="C217" s="6" t="s">
        <v>24</v>
      </c>
      <c r="D217" s="31">
        <v>600</v>
      </c>
      <c r="E217" s="11" t="s">
        <v>590</v>
      </c>
      <c r="F217" t="s">
        <v>151</v>
      </c>
    </row>
    <row r="218" spans="1:6" ht="24">
      <c r="A218" s="5" t="s">
        <v>384</v>
      </c>
      <c r="B218" s="21">
        <v>46157</v>
      </c>
      <c r="C218" s="11" t="s">
        <v>275</v>
      </c>
      <c r="D218" s="22">
        <v>157.97999999999999</v>
      </c>
      <c r="E218" s="18" t="s">
        <v>590</v>
      </c>
      <c r="F218" t="s">
        <v>151</v>
      </c>
    </row>
    <row r="219" spans="1:6" ht="24">
      <c r="A219" s="5" t="s">
        <v>385</v>
      </c>
      <c r="B219" s="21">
        <v>46157</v>
      </c>
      <c r="C219" s="11" t="s">
        <v>275</v>
      </c>
      <c r="D219" s="22">
        <v>492</v>
      </c>
      <c r="E219" s="18" t="s">
        <v>590</v>
      </c>
      <c r="F219" t="s">
        <v>151</v>
      </c>
    </row>
    <row r="220" spans="1:6">
      <c r="A220" s="5" t="s">
        <v>386</v>
      </c>
      <c r="B220" s="21">
        <v>46157</v>
      </c>
      <c r="C220" s="11" t="s">
        <v>276</v>
      </c>
      <c r="D220" s="22">
        <v>150</v>
      </c>
      <c r="E220" s="18" t="s">
        <v>590</v>
      </c>
      <c r="F220" t="s">
        <v>151</v>
      </c>
    </row>
    <row r="221" spans="1:6">
      <c r="A221" s="5" t="s">
        <v>388</v>
      </c>
      <c r="B221" s="21">
        <v>46157</v>
      </c>
      <c r="C221" s="11" t="s">
        <v>159</v>
      </c>
      <c r="D221" s="22">
        <v>320</v>
      </c>
      <c r="E221" s="18" t="s">
        <v>590</v>
      </c>
      <c r="F221" t="s">
        <v>151</v>
      </c>
    </row>
    <row r="222" spans="1:6">
      <c r="A222" s="5" t="s">
        <v>387</v>
      </c>
      <c r="B222" s="21">
        <v>46157</v>
      </c>
      <c r="C222" s="11" t="s">
        <v>159</v>
      </c>
      <c r="D222" s="22">
        <v>320</v>
      </c>
      <c r="E222" s="18" t="s">
        <v>590</v>
      </c>
      <c r="F222" t="s">
        <v>151</v>
      </c>
    </row>
    <row r="223" spans="1:6">
      <c r="A223" s="5" t="s">
        <v>389</v>
      </c>
      <c r="B223" s="21">
        <v>46157</v>
      </c>
      <c r="C223" s="11" t="s">
        <v>162</v>
      </c>
      <c r="D223" s="22">
        <v>640</v>
      </c>
      <c r="E223" s="18" t="s">
        <v>590</v>
      </c>
      <c r="F223" t="s">
        <v>151</v>
      </c>
    </row>
    <row r="224" spans="1:6">
      <c r="A224" s="5" t="s">
        <v>390</v>
      </c>
      <c r="B224" s="21">
        <v>46157</v>
      </c>
      <c r="C224" s="6" t="s">
        <v>277</v>
      </c>
      <c r="D224" s="31">
        <v>550</v>
      </c>
      <c r="E224" s="11" t="s">
        <v>590</v>
      </c>
      <c r="F224" t="s">
        <v>151</v>
      </c>
    </row>
    <row r="225" spans="1:6">
      <c r="A225" s="5" t="s">
        <v>391</v>
      </c>
      <c r="B225" s="21">
        <v>46157</v>
      </c>
      <c r="C225" s="6" t="s">
        <v>283</v>
      </c>
      <c r="D225" s="31">
        <v>8.6</v>
      </c>
      <c r="E225" s="11" t="s">
        <v>589</v>
      </c>
      <c r="F225" t="s">
        <v>151</v>
      </c>
    </row>
    <row r="226" spans="1:6">
      <c r="A226" s="5" t="s">
        <v>392</v>
      </c>
      <c r="B226" s="21">
        <v>46157</v>
      </c>
      <c r="C226" s="6" t="s">
        <v>290</v>
      </c>
      <c r="D226" s="31">
        <v>2.33</v>
      </c>
      <c r="E226" s="11" t="s">
        <v>590</v>
      </c>
      <c r="F226" t="s">
        <v>151</v>
      </c>
    </row>
    <row r="227" spans="1:6">
      <c r="A227" s="5" t="s">
        <v>393</v>
      </c>
      <c r="B227" s="21">
        <v>46157</v>
      </c>
      <c r="C227" s="6" t="s">
        <v>293</v>
      </c>
      <c r="D227" s="31">
        <v>40.299999999999997</v>
      </c>
      <c r="E227" s="11" t="s">
        <v>590</v>
      </c>
      <c r="F227" t="s">
        <v>151</v>
      </c>
    </row>
    <row r="228" spans="1:6">
      <c r="A228" s="5" t="s">
        <v>394</v>
      </c>
      <c r="B228" s="21">
        <v>46157</v>
      </c>
      <c r="C228" s="6" t="s">
        <v>294</v>
      </c>
      <c r="D228" s="31">
        <v>12.76</v>
      </c>
      <c r="E228" s="11" t="s">
        <v>590</v>
      </c>
      <c r="F228" t="s">
        <v>151</v>
      </c>
    </row>
    <row r="229" spans="1:6">
      <c r="A229" s="5" t="s">
        <v>395</v>
      </c>
      <c r="B229" s="21">
        <v>46157</v>
      </c>
      <c r="C229" s="6" t="s">
        <v>286</v>
      </c>
      <c r="D229" s="31">
        <v>5.54</v>
      </c>
      <c r="E229" s="11" t="s">
        <v>590</v>
      </c>
      <c r="F229" t="s">
        <v>151</v>
      </c>
    </row>
    <row r="230" spans="1:6">
      <c r="A230" s="25" t="s">
        <v>466</v>
      </c>
      <c r="B230" s="21">
        <v>46157</v>
      </c>
      <c r="C230" s="26" t="s">
        <v>40</v>
      </c>
      <c r="D230" s="33">
        <v>644</v>
      </c>
      <c r="E230" s="11" t="s">
        <v>589</v>
      </c>
      <c r="F230" t="s">
        <v>151</v>
      </c>
    </row>
    <row r="231" spans="1:6">
      <c r="A231" s="5" t="s">
        <v>396</v>
      </c>
      <c r="B231" s="49">
        <v>46160</v>
      </c>
      <c r="C231" s="6" t="s">
        <v>268</v>
      </c>
      <c r="D231" s="31">
        <v>195.55</v>
      </c>
      <c r="E231" s="11" t="s">
        <v>589</v>
      </c>
      <c r="F231" t="s">
        <v>151</v>
      </c>
    </row>
    <row r="232" spans="1:6" ht="24">
      <c r="A232" s="5" t="s">
        <v>397</v>
      </c>
      <c r="B232" s="49">
        <v>46160</v>
      </c>
      <c r="C232" s="11" t="s">
        <v>269</v>
      </c>
      <c r="D232" s="22">
        <v>150</v>
      </c>
      <c r="E232" s="11" t="s">
        <v>589</v>
      </c>
      <c r="F232" t="s">
        <v>151</v>
      </c>
    </row>
    <row r="233" spans="1:6">
      <c r="A233" s="5" t="s">
        <v>398</v>
      </c>
      <c r="B233" s="49">
        <v>46160</v>
      </c>
      <c r="C233" s="11" t="s">
        <v>270</v>
      </c>
      <c r="D233" s="22">
        <v>79.900000000000006</v>
      </c>
      <c r="E233" s="11" t="s">
        <v>589</v>
      </c>
      <c r="F233" t="s">
        <v>151</v>
      </c>
    </row>
    <row r="234" spans="1:6">
      <c r="A234" s="5" t="s">
        <v>399</v>
      </c>
      <c r="B234" s="49">
        <v>46160</v>
      </c>
      <c r="C234" s="11" t="s">
        <v>271</v>
      </c>
      <c r="D234" s="22">
        <v>455.7</v>
      </c>
      <c r="E234" s="11" t="s">
        <v>589</v>
      </c>
      <c r="F234" t="s">
        <v>151</v>
      </c>
    </row>
    <row r="235" spans="1:6">
      <c r="A235" s="7" t="s">
        <v>400</v>
      </c>
      <c r="B235" s="49">
        <v>46160</v>
      </c>
      <c r="C235" s="11" t="s">
        <v>270</v>
      </c>
      <c r="D235" s="22">
        <v>164.9</v>
      </c>
      <c r="E235" s="18" t="s">
        <v>589</v>
      </c>
      <c r="F235" t="s">
        <v>151</v>
      </c>
    </row>
    <row r="236" spans="1:6" ht="24">
      <c r="A236" s="7" t="s">
        <v>401</v>
      </c>
      <c r="B236" s="49">
        <v>46160</v>
      </c>
      <c r="C236" s="11" t="s">
        <v>272</v>
      </c>
      <c r="D236" s="22">
        <v>12080.91</v>
      </c>
      <c r="E236" s="18" t="s">
        <v>589</v>
      </c>
      <c r="F236" t="s">
        <v>151</v>
      </c>
    </row>
    <row r="237" spans="1:6">
      <c r="A237" s="7" t="s">
        <v>402</v>
      </c>
      <c r="B237" s="49">
        <v>46160</v>
      </c>
      <c r="C237" s="11" t="s">
        <v>34</v>
      </c>
      <c r="D237" s="22">
        <v>55.56</v>
      </c>
      <c r="E237" s="18" t="s">
        <v>589</v>
      </c>
      <c r="F237" t="s">
        <v>151</v>
      </c>
    </row>
    <row r="238" spans="1:6">
      <c r="A238" s="7" t="s">
        <v>403</v>
      </c>
      <c r="B238" s="49">
        <v>46160</v>
      </c>
      <c r="C238" s="11" t="s">
        <v>273</v>
      </c>
      <c r="D238" s="22">
        <v>159.44</v>
      </c>
      <c r="E238" s="18" t="s">
        <v>589</v>
      </c>
      <c r="F238" t="s">
        <v>151</v>
      </c>
    </row>
    <row r="239" spans="1:6">
      <c r="A239" s="7" t="s">
        <v>404</v>
      </c>
      <c r="B239" s="48">
        <v>46160</v>
      </c>
      <c r="C239" s="23" t="s">
        <v>278</v>
      </c>
      <c r="D239" s="31">
        <v>77.47</v>
      </c>
      <c r="E239" s="34" t="s">
        <v>590</v>
      </c>
      <c r="F239" t="s">
        <v>151</v>
      </c>
    </row>
    <row r="240" spans="1:6">
      <c r="A240" s="7" t="s">
        <v>406</v>
      </c>
      <c r="B240" s="48">
        <v>46160</v>
      </c>
      <c r="C240" s="23" t="s">
        <v>405</v>
      </c>
      <c r="D240" s="31">
        <v>7501.84</v>
      </c>
      <c r="E240" s="34" t="s">
        <v>590</v>
      </c>
      <c r="F240" t="s">
        <v>151</v>
      </c>
    </row>
    <row r="241" spans="1:6">
      <c r="A241" s="7" t="s">
        <v>407</v>
      </c>
      <c r="B241" s="48">
        <v>46160</v>
      </c>
      <c r="C241" s="11" t="s">
        <v>30</v>
      </c>
      <c r="D241" s="22">
        <v>7016.89</v>
      </c>
      <c r="E241" s="18" t="s">
        <v>590</v>
      </c>
      <c r="F241" t="s">
        <v>151</v>
      </c>
    </row>
    <row r="242" spans="1:6">
      <c r="A242" s="7" t="s">
        <v>408</v>
      </c>
      <c r="B242" s="48">
        <v>46160</v>
      </c>
      <c r="C242" s="11" t="s">
        <v>31</v>
      </c>
      <c r="D242" s="22">
        <v>7156.03</v>
      </c>
      <c r="E242" s="18" t="s">
        <v>590</v>
      </c>
      <c r="F242" t="s">
        <v>151</v>
      </c>
    </row>
    <row r="243" spans="1:6">
      <c r="A243" s="7" t="s">
        <v>409</v>
      </c>
      <c r="B243" s="48">
        <v>46160</v>
      </c>
      <c r="C243" s="11" t="s">
        <v>279</v>
      </c>
      <c r="D243" s="22">
        <v>4745</v>
      </c>
      <c r="E243" s="18" t="s">
        <v>590</v>
      </c>
      <c r="F243" t="s">
        <v>151</v>
      </c>
    </row>
    <row r="244" spans="1:6">
      <c r="A244" s="5" t="s">
        <v>410</v>
      </c>
      <c r="B244" s="48">
        <v>46160</v>
      </c>
      <c r="C244" s="11" t="s">
        <v>279</v>
      </c>
      <c r="D244" s="22">
        <v>5103</v>
      </c>
      <c r="E244" s="11" t="s">
        <v>590</v>
      </c>
      <c r="F244" t="s">
        <v>151</v>
      </c>
    </row>
    <row r="245" spans="1:6">
      <c r="A245" s="5" t="s">
        <v>411</v>
      </c>
      <c r="B245" s="48">
        <v>46160</v>
      </c>
      <c r="C245" s="11" t="s">
        <v>279</v>
      </c>
      <c r="D245" s="22">
        <v>3976</v>
      </c>
      <c r="E245" s="11" t="s">
        <v>590</v>
      </c>
      <c r="F245" t="s">
        <v>151</v>
      </c>
    </row>
    <row r="246" spans="1:6">
      <c r="A246" s="5" t="s">
        <v>412</v>
      </c>
      <c r="B246" s="48">
        <v>46160</v>
      </c>
      <c r="C246" s="6" t="s">
        <v>44</v>
      </c>
      <c r="D246" s="31">
        <v>4500</v>
      </c>
      <c r="E246" s="11" t="s">
        <v>590</v>
      </c>
      <c r="F246" t="s">
        <v>151</v>
      </c>
    </row>
    <row r="247" spans="1:6" ht="24">
      <c r="A247" s="5" t="s">
        <v>413</v>
      </c>
      <c r="B247" s="48">
        <v>46160</v>
      </c>
      <c r="C247" s="6" t="s">
        <v>275</v>
      </c>
      <c r="D247" s="31">
        <v>569.99</v>
      </c>
      <c r="E247" s="11" t="s">
        <v>590</v>
      </c>
      <c r="F247" t="s">
        <v>151</v>
      </c>
    </row>
    <row r="248" spans="1:6">
      <c r="A248" s="5" t="s">
        <v>414</v>
      </c>
      <c r="B248" s="48">
        <v>46160</v>
      </c>
      <c r="C248" s="6" t="s">
        <v>280</v>
      </c>
      <c r="D248" s="31">
        <v>20.170000000000002</v>
      </c>
      <c r="E248" s="11" t="s">
        <v>590</v>
      </c>
      <c r="F248" t="s">
        <v>151</v>
      </c>
    </row>
    <row r="249" spans="1:6">
      <c r="A249" s="5" t="s">
        <v>415</v>
      </c>
      <c r="B249" s="48">
        <v>46160</v>
      </c>
      <c r="C249" s="6" t="s">
        <v>281</v>
      </c>
      <c r="D249" s="31">
        <v>243.74</v>
      </c>
      <c r="E249" s="18" t="s">
        <v>590</v>
      </c>
      <c r="F249" t="s">
        <v>151</v>
      </c>
    </row>
    <row r="250" spans="1:6">
      <c r="A250" s="5" t="s">
        <v>416</v>
      </c>
      <c r="B250" s="16">
        <v>46160</v>
      </c>
      <c r="C250" s="6" t="s">
        <v>286</v>
      </c>
      <c r="D250" s="31">
        <v>2.77</v>
      </c>
      <c r="E250" s="18" t="s">
        <v>589</v>
      </c>
      <c r="F250" t="s">
        <v>151</v>
      </c>
    </row>
    <row r="251" spans="1:6">
      <c r="A251" s="5" t="s">
        <v>417</v>
      </c>
      <c r="B251" s="16">
        <v>46160</v>
      </c>
      <c r="C251" s="6" t="s">
        <v>290</v>
      </c>
      <c r="D251" s="31">
        <v>0.37</v>
      </c>
      <c r="E251" s="18" t="s">
        <v>590</v>
      </c>
      <c r="F251" t="s">
        <v>151</v>
      </c>
    </row>
    <row r="252" spans="1:6">
      <c r="A252" s="5" t="s">
        <v>418</v>
      </c>
      <c r="B252" s="16">
        <v>46160</v>
      </c>
      <c r="C252" s="6" t="s">
        <v>286</v>
      </c>
      <c r="D252" s="31">
        <v>11.08</v>
      </c>
      <c r="E252" s="18" t="s">
        <v>590</v>
      </c>
      <c r="F252" t="s">
        <v>151</v>
      </c>
    </row>
    <row r="253" spans="1:6">
      <c r="A253" s="35" t="s">
        <v>419</v>
      </c>
      <c r="B253" s="36">
        <v>46160</v>
      </c>
      <c r="C253" s="37" t="s">
        <v>298</v>
      </c>
      <c r="D253" s="38">
        <v>1209.5999999999999</v>
      </c>
      <c r="E253" s="39" t="s">
        <v>590</v>
      </c>
      <c r="F253" t="s">
        <v>151</v>
      </c>
    </row>
    <row r="254" spans="1:6">
      <c r="A254" s="35" t="s">
        <v>420</v>
      </c>
      <c r="B254" s="36">
        <v>46160</v>
      </c>
      <c r="C254" s="37" t="s">
        <v>298</v>
      </c>
      <c r="D254" s="38">
        <v>1209.5999999999999</v>
      </c>
      <c r="E254" s="39" t="s">
        <v>590</v>
      </c>
      <c r="F254" t="s">
        <v>151</v>
      </c>
    </row>
    <row r="255" spans="1:6" ht="24">
      <c r="A255" s="5" t="s">
        <v>421</v>
      </c>
      <c r="B255" s="16">
        <v>46160</v>
      </c>
      <c r="C255" s="6" t="s">
        <v>300</v>
      </c>
      <c r="D255" s="31">
        <v>200</v>
      </c>
      <c r="E255" s="18" t="s">
        <v>590</v>
      </c>
      <c r="F255" t="s">
        <v>151</v>
      </c>
    </row>
    <row r="256" spans="1:6">
      <c r="A256" s="5" t="s">
        <v>422</v>
      </c>
      <c r="B256" s="16">
        <v>46160</v>
      </c>
      <c r="C256" s="6" t="s">
        <v>301</v>
      </c>
      <c r="D256" s="31">
        <v>199</v>
      </c>
      <c r="E256" s="18" t="s">
        <v>590</v>
      </c>
      <c r="F256" t="s">
        <v>151</v>
      </c>
    </row>
    <row r="257" spans="1:6">
      <c r="A257" s="5" t="s">
        <v>423</v>
      </c>
      <c r="B257" s="16">
        <v>46160</v>
      </c>
      <c r="C257" s="6" t="s">
        <v>168</v>
      </c>
      <c r="D257" s="31">
        <v>5200</v>
      </c>
      <c r="E257" s="18" t="s">
        <v>590</v>
      </c>
      <c r="F257" t="s">
        <v>151</v>
      </c>
    </row>
    <row r="258" spans="1:6">
      <c r="A258" s="5" t="s">
        <v>424</v>
      </c>
      <c r="B258" s="21">
        <v>46160</v>
      </c>
      <c r="C258" s="6" t="s">
        <v>25</v>
      </c>
      <c r="D258" s="31">
        <v>5931</v>
      </c>
      <c r="E258" s="18" t="s">
        <v>590</v>
      </c>
      <c r="F258" t="s">
        <v>151</v>
      </c>
    </row>
    <row r="259" spans="1:6">
      <c r="A259" s="5" t="s">
        <v>425</v>
      </c>
      <c r="B259" s="21">
        <v>46160</v>
      </c>
      <c r="C259" s="6" t="s">
        <v>25</v>
      </c>
      <c r="D259" s="31">
        <v>4500</v>
      </c>
      <c r="E259" s="18" t="s">
        <v>590</v>
      </c>
      <c r="F259" t="s">
        <v>151</v>
      </c>
    </row>
    <row r="260" spans="1:6">
      <c r="A260" s="5" t="s">
        <v>426</v>
      </c>
      <c r="B260" s="21">
        <v>46160</v>
      </c>
      <c r="C260" s="6" t="s">
        <v>322</v>
      </c>
      <c r="D260" s="31">
        <v>4504.5</v>
      </c>
      <c r="E260" s="18" t="s">
        <v>590</v>
      </c>
      <c r="F260" t="s">
        <v>151</v>
      </c>
    </row>
    <row r="261" spans="1:6">
      <c r="A261" s="5" t="s">
        <v>427</v>
      </c>
      <c r="B261" s="21">
        <v>46160</v>
      </c>
      <c r="C261" s="6" t="s">
        <v>323</v>
      </c>
      <c r="D261" s="31">
        <v>9726</v>
      </c>
      <c r="E261" s="18" t="s">
        <v>590</v>
      </c>
      <c r="F261" t="s">
        <v>151</v>
      </c>
    </row>
    <row r="262" spans="1:6">
      <c r="A262" s="5" t="s">
        <v>428</v>
      </c>
      <c r="B262" s="21">
        <v>46160</v>
      </c>
      <c r="C262" s="6" t="s">
        <v>324</v>
      </c>
      <c r="D262" s="31">
        <v>3377.4</v>
      </c>
      <c r="E262" s="18" t="s">
        <v>590</v>
      </c>
      <c r="F262" t="s">
        <v>151</v>
      </c>
    </row>
    <row r="263" spans="1:6">
      <c r="A263" s="5" t="s">
        <v>429</v>
      </c>
      <c r="B263" s="21">
        <v>46160</v>
      </c>
      <c r="C263" s="6" t="s">
        <v>325</v>
      </c>
      <c r="D263" s="31">
        <v>5200</v>
      </c>
      <c r="E263" s="18" t="s">
        <v>590</v>
      </c>
      <c r="F263" t="s">
        <v>151</v>
      </c>
    </row>
    <row r="264" spans="1:6">
      <c r="A264" s="5" t="s">
        <v>430</v>
      </c>
      <c r="B264" s="21">
        <v>46160</v>
      </c>
      <c r="C264" s="6" t="s">
        <v>326</v>
      </c>
      <c r="D264" s="31">
        <v>3385</v>
      </c>
      <c r="E264" s="18" t="s">
        <v>590</v>
      </c>
      <c r="F264" t="s">
        <v>151</v>
      </c>
    </row>
    <row r="265" spans="1:6">
      <c r="A265" s="5" t="s">
        <v>431</v>
      </c>
      <c r="B265" s="21">
        <v>46160</v>
      </c>
      <c r="C265" s="6" t="s">
        <v>327</v>
      </c>
      <c r="D265" s="31">
        <v>4277.5</v>
      </c>
      <c r="E265" s="18" t="s">
        <v>590</v>
      </c>
      <c r="F265" t="s">
        <v>151</v>
      </c>
    </row>
    <row r="266" spans="1:6">
      <c r="A266" s="5" t="s">
        <v>432</v>
      </c>
      <c r="B266" s="21">
        <v>46160</v>
      </c>
      <c r="C266" s="6" t="s">
        <v>328</v>
      </c>
      <c r="D266" s="31">
        <v>13834.92</v>
      </c>
      <c r="E266" s="18" t="s">
        <v>590</v>
      </c>
      <c r="F266" t="s">
        <v>151</v>
      </c>
    </row>
    <row r="267" spans="1:6">
      <c r="A267" s="5" t="s">
        <v>433</v>
      </c>
      <c r="B267" s="21">
        <v>46160</v>
      </c>
      <c r="C267" s="6" t="s">
        <v>329</v>
      </c>
      <c r="D267" s="31">
        <v>8076.5</v>
      </c>
      <c r="E267" s="18" t="s">
        <v>590</v>
      </c>
      <c r="F267" t="s">
        <v>151</v>
      </c>
    </row>
    <row r="268" spans="1:6">
      <c r="A268" s="5" t="s">
        <v>467</v>
      </c>
      <c r="B268" s="21">
        <v>46160</v>
      </c>
      <c r="C268" s="6" t="s">
        <v>173</v>
      </c>
      <c r="D268" s="31">
        <v>2202.94</v>
      </c>
      <c r="E268" s="18" t="s">
        <v>589</v>
      </c>
      <c r="F268" t="s">
        <v>151</v>
      </c>
    </row>
    <row r="269" spans="1:6">
      <c r="A269" s="5" t="s">
        <v>468</v>
      </c>
      <c r="B269" s="21">
        <v>46160</v>
      </c>
      <c r="C269" s="6" t="s">
        <v>173</v>
      </c>
      <c r="D269" s="31">
        <v>2560.62</v>
      </c>
      <c r="E269" s="18" t="s">
        <v>589</v>
      </c>
      <c r="F269" t="s">
        <v>151</v>
      </c>
    </row>
    <row r="270" spans="1:6">
      <c r="A270" s="5" t="s">
        <v>469</v>
      </c>
      <c r="B270" s="21">
        <v>46160</v>
      </c>
      <c r="C270" s="6" t="s">
        <v>19</v>
      </c>
      <c r="D270" s="31">
        <v>490.02</v>
      </c>
      <c r="E270" s="18" t="s">
        <v>589</v>
      </c>
      <c r="F270" t="s">
        <v>151</v>
      </c>
    </row>
    <row r="271" spans="1:6">
      <c r="A271" s="5" t="s">
        <v>470</v>
      </c>
      <c r="B271" s="21">
        <v>46160</v>
      </c>
      <c r="C271" s="6" t="s">
        <v>40</v>
      </c>
      <c r="D271" s="31">
        <v>20</v>
      </c>
      <c r="E271" s="18" t="s">
        <v>589</v>
      </c>
      <c r="F271" t="s">
        <v>151</v>
      </c>
    </row>
    <row r="272" spans="1:6">
      <c r="A272" s="5" t="s">
        <v>471</v>
      </c>
      <c r="B272" s="21">
        <v>46160</v>
      </c>
      <c r="C272" s="6" t="s">
        <v>451</v>
      </c>
      <c r="D272" s="31">
        <v>14773.83</v>
      </c>
      <c r="E272" s="18" t="s">
        <v>589</v>
      </c>
      <c r="F272" t="s">
        <v>151</v>
      </c>
    </row>
    <row r="273" spans="1:6">
      <c r="A273" s="5" t="s">
        <v>434</v>
      </c>
      <c r="B273" s="16">
        <v>46161</v>
      </c>
      <c r="C273" s="6" t="s">
        <v>7</v>
      </c>
      <c r="D273" s="31">
        <v>1883.55</v>
      </c>
      <c r="E273" s="18" t="s">
        <v>590</v>
      </c>
      <c r="F273" t="s">
        <v>151</v>
      </c>
    </row>
    <row r="274" spans="1:6">
      <c r="A274" s="5" t="s">
        <v>435</v>
      </c>
      <c r="B274" s="16">
        <v>46161</v>
      </c>
      <c r="C274" s="6" t="s">
        <v>274</v>
      </c>
      <c r="D274" s="31">
        <v>53</v>
      </c>
      <c r="E274" s="18" t="s">
        <v>590</v>
      </c>
      <c r="F274" t="s">
        <v>151</v>
      </c>
    </row>
    <row r="275" spans="1:6">
      <c r="A275" s="5" t="s">
        <v>472</v>
      </c>
      <c r="B275" s="21">
        <v>46161</v>
      </c>
      <c r="C275" s="6" t="s">
        <v>274</v>
      </c>
      <c r="D275" s="31">
        <v>130</v>
      </c>
      <c r="E275" s="18" t="s">
        <v>590</v>
      </c>
      <c r="F275" t="s">
        <v>151</v>
      </c>
    </row>
    <row r="276" spans="1:6">
      <c r="A276" s="7" t="s">
        <v>473</v>
      </c>
      <c r="B276" s="21">
        <v>46161</v>
      </c>
      <c r="C276" s="6" t="s">
        <v>40</v>
      </c>
      <c r="D276" s="31">
        <v>1027.5</v>
      </c>
      <c r="E276" s="18" t="s">
        <v>590</v>
      </c>
      <c r="F276" t="s">
        <v>151</v>
      </c>
    </row>
    <row r="277" spans="1:6">
      <c r="A277" s="7" t="s">
        <v>474</v>
      </c>
      <c r="B277" s="21">
        <v>46161</v>
      </c>
      <c r="C277" s="6" t="s">
        <v>436</v>
      </c>
      <c r="D277" s="31">
        <v>400</v>
      </c>
      <c r="E277" s="18" t="s">
        <v>590</v>
      </c>
      <c r="F277" t="s">
        <v>151</v>
      </c>
    </row>
    <row r="278" spans="1:6">
      <c r="A278" s="5" t="s">
        <v>475</v>
      </c>
      <c r="B278" s="21">
        <v>46161</v>
      </c>
      <c r="C278" s="6" t="s">
        <v>37</v>
      </c>
      <c r="D278" s="31">
        <v>3200</v>
      </c>
      <c r="E278" s="18" t="s">
        <v>590</v>
      </c>
      <c r="F278" t="s">
        <v>151</v>
      </c>
    </row>
    <row r="279" spans="1:6">
      <c r="A279" s="7" t="s">
        <v>476</v>
      </c>
      <c r="B279" s="21">
        <v>46161</v>
      </c>
      <c r="C279" s="8" t="s">
        <v>437</v>
      </c>
      <c r="D279" s="32">
        <v>10.98</v>
      </c>
      <c r="E279" s="18" t="s">
        <v>590</v>
      </c>
      <c r="F279" t="s">
        <v>151</v>
      </c>
    </row>
    <row r="280" spans="1:6">
      <c r="A280" s="5" t="s">
        <v>477</v>
      </c>
      <c r="B280" s="21">
        <v>46161</v>
      </c>
      <c r="C280" s="23" t="s">
        <v>25</v>
      </c>
      <c r="D280" s="31">
        <v>2650</v>
      </c>
      <c r="E280" s="18" t="s">
        <v>590</v>
      </c>
      <c r="F280" t="s">
        <v>151</v>
      </c>
    </row>
    <row r="281" spans="1:6">
      <c r="A281" s="5" t="s">
        <v>478</v>
      </c>
      <c r="B281" s="21">
        <v>46162</v>
      </c>
      <c r="C281" s="23" t="s">
        <v>438</v>
      </c>
      <c r="D281" s="31">
        <v>701.33</v>
      </c>
      <c r="E281" s="18" t="s">
        <v>590</v>
      </c>
      <c r="F281" t="s">
        <v>151</v>
      </c>
    </row>
    <row r="282" spans="1:6">
      <c r="A282" s="5" t="s">
        <v>479</v>
      </c>
      <c r="B282" s="21">
        <v>46162</v>
      </c>
      <c r="C282" s="23" t="s">
        <v>441</v>
      </c>
      <c r="D282" s="31">
        <v>3600</v>
      </c>
      <c r="E282" s="18" t="s">
        <v>590</v>
      </c>
      <c r="F282" t="s">
        <v>151</v>
      </c>
    </row>
    <row r="283" spans="1:6">
      <c r="A283" s="5" t="s">
        <v>480</v>
      </c>
      <c r="B283" s="21">
        <v>46162</v>
      </c>
      <c r="C283" s="23" t="s">
        <v>442</v>
      </c>
      <c r="D283" s="31">
        <v>5704</v>
      </c>
      <c r="E283" s="18" t="s">
        <v>590</v>
      </c>
      <c r="F283" t="s">
        <v>151</v>
      </c>
    </row>
    <row r="284" spans="1:6">
      <c r="A284" s="5" t="s">
        <v>481</v>
      </c>
      <c r="B284" s="21">
        <v>46162</v>
      </c>
      <c r="C284" s="23" t="s">
        <v>443</v>
      </c>
      <c r="D284" s="31">
        <v>4932</v>
      </c>
      <c r="E284" s="18" t="s">
        <v>590</v>
      </c>
      <c r="F284" t="s">
        <v>151</v>
      </c>
    </row>
    <row r="285" spans="1:6">
      <c r="A285" s="5" t="s">
        <v>482</v>
      </c>
      <c r="B285" s="21">
        <v>46162</v>
      </c>
      <c r="C285" s="23" t="s">
        <v>444</v>
      </c>
      <c r="D285" s="31">
        <v>3636</v>
      </c>
      <c r="E285" s="18" t="s">
        <v>590</v>
      </c>
      <c r="F285" t="s">
        <v>151</v>
      </c>
    </row>
    <row r="286" spans="1:6">
      <c r="A286" s="5" t="s">
        <v>483</v>
      </c>
      <c r="B286" s="21">
        <v>46162</v>
      </c>
      <c r="C286" s="23" t="s">
        <v>445</v>
      </c>
      <c r="D286" s="31">
        <v>616</v>
      </c>
      <c r="E286" s="18" t="s">
        <v>589</v>
      </c>
      <c r="F286" t="s">
        <v>151</v>
      </c>
    </row>
    <row r="287" spans="1:6">
      <c r="A287" s="5" t="s">
        <v>484</v>
      </c>
      <c r="B287" s="21">
        <v>46162</v>
      </c>
      <c r="C287" s="23" t="s">
        <v>55</v>
      </c>
      <c r="D287" s="31">
        <v>1696.96</v>
      </c>
      <c r="E287" s="18" t="s">
        <v>589</v>
      </c>
      <c r="F287" t="s">
        <v>151</v>
      </c>
    </row>
    <row r="288" spans="1:6">
      <c r="A288" s="5" t="s">
        <v>485</v>
      </c>
      <c r="B288" s="21">
        <v>46162</v>
      </c>
      <c r="C288" s="23" t="s">
        <v>177</v>
      </c>
      <c r="D288" s="31">
        <v>186.24</v>
      </c>
      <c r="E288" s="18" t="s">
        <v>589</v>
      </c>
      <c r="F288" t="s">
        <v>151</v>
      </c>
    </row>
    <row r="289" spans="1:6">
      <c r="A289" s="5" t="s">
        <v>486</v>
      </c>
      <c r="B289" s="21">
        <v>46162</v>
      </c>
      <c r="C289" s="23" t="s">
        <v>446</v>
      </c>
      <c r="D289" s="31">
        <v>3483.9</v>
      </c>
      <c r="E289" s="18" t="s">
        <v>589</v>
      </c>
      <c r="F289" t="s">
        <v>151</v>
      </c>
    </row>
    <row r="290" spans="1:6">
      <c r="A290" s="5" t="s">
        <v>487</v>
      </c>
      <c r="B290" s="21">
        <v>46162</v>
      </c>
      <c r="C290" s="23" t="s">
        <v>447</v>
      </c>
      <c r="D290" s="31">
        <v>2652.44</v>
      </c>
      <c r="E290" s="18" t="s">
        <v>589</v>
      </c>
      <c r="F290" t="s">
        <v>151</v>
      </c>
    </row>
    <row r="291" spans="1:6">
      <c r="A291" s="5" t="s">
        <v>488</v>
      </c>
      <c r="B291" s="21">
        <v>46162</v>
      </c>
      <c r="C291" s="23" t="s">
        <v>182</v>
      </c>
      <c r="D291" s="31">
        <v>1380</v>
      </c>
      <c r="E291" s="18" t="s">
        <v>589</v>
      </c>
      <c r="F291" t="s">
        <v>151</v>
      </c>
    </row>
    <row r="292" spans="1:6">
      <c r="A292" s="5" t="s">
        <v>489</v>
      </c>
      <c r="B292" s="21">
        <v>46162</v>
      </c>
      <c r="C292" s="23" t="s">
        <v>449</v>
      </c>
      <c r="D292" s="31">
        <v>1334.92</v>
      </c>
      <c r="E292" s="18" t="s">
        <v>589</v>
      </c>
      <c r="F292" t="s">
        <v>151</v>
      </c>
    </row>
    <row r="293" spans="1:6">
      <c r="A293" s="5" t="s">
        <v>490</v>
      </c>
      <c r="B293" s="21">
        <v>46162</v>
      </c>
      <c r="C293" s="23" t="s">
        <v>452</v>
      </c>
      <c r="D293" s="31">
        <v>120</v>
      </c>
      <c r="E293" s="18" t="s">
        <v>590</v>
      </c>
      <c r="F293" t="s">
        <v>151</v>
      </c>
    </row>
    <row r="294" spans="1:6">
      <c r="A294" s="5" t="s">
        <v>491</v>
      </c>
      <c r="B294" s="21">
        <v>46162</v>
      </c>
      <c r="C294" s="23" t="s">
        <v>453</v>
      </c>
      <c r="D294" s="31">
        <v>35</v>
      </c>
      <c r="E294" s="18" t="s">
        <v>590</v>
      </c>
      <c r="F294" t="s">
        <v>151</v>
      </c>
    </row>
    <row r="295" spans="1:6">
      <c r="A295" s="5" t="s">
        <v>492</v>
      </c>
      <c r="B295" s="21">
        <v>46163</v>
      </c>
      <c r="C295" s="6" t="s">
        <v>168</v>
      </c>
      <c r="D295" s="31">
        <v>2650</v>
      </c>
      <c r="E295" s="18" t="s">
        <v>590</v>
      </c>
      <c r="F295" t="s">
        <v>151</v>
      </c>
    </row>
    <row r="296" spans="1:6">
      <c r="A296" s="5" t="s">
        <v>493</v>
      </c>
      <c r="B296" s="21">
        <v>46163</v>
      </c>
      <c r="C296" s="11" t="s">
        <v>439</v>
      </c>
      <c r="D296" s="22">
        <v>4680</v>
      </c>
      <c r="E296" s="18" t="s">
        <v>590</v>
      </c>
      <c r="F296" t="s">
        <v>151</v>
      </c>
    </row>
    <row r="297" spans="1:6">
      <c r="A297" s="5" t="s">
        <v>494</v>
      </c>
      <c r="B297" s="21">
        <v>46163</v>
      </c>
      <c r="C297" s="11" t="s">
        <v>440</v>
      </c>
      <c r="D297" s="22">
        <v>1000</v>
      </c>
      <c r="E297" s="18" t="s">
        <v>590</v>
      </c>
      <c r="F297" t="s">
        <v>151</v>
      </c>
    </row>
    <row r="298" spans="1:6">
      <c r="A298" s="9" t="s">
        <v>495</v>
      </c>
      <c r="B298" s="21">
        <v>46163</v>
      </c>
      <c r="C298" s="11" t="s">
        <v>24</v>
      </c>
      <c r="D298" s="22">
        <v>749.65</v>
      </c>
      <c r="E298" s="18" t="s">
        <v>590</v>
      </c>
      <c r="F298" t="s">
        <v>151</v>
      </c>
    </row>
    <row r="299" spans="1:6">
      <c r="A299" s="7" t="s">
        <v>496</v>
      </c>
      <c r="B299" s="21">
        <v>46163</v>
      </c>
      <c r="C299" s="11" t="s">
        <v>168</v>
      </c>
      <c r="D299" s="22">
        <v>8440.7000000000007</v>
      </c>
      <c r="E299" s="18" t="s">
        <v>590</v>
      </c>
      <c r="F299" t="s">
        <v>151</v>
      </c>
    </row>
    <row r="300" spans="1:6">
      <c r="A300" s="7" t="s">
        <v>497</v>
      </c>
      <c r="B300" s="21">
        <v>46163</v>
      </c>
      <c r="C300" s="11" t="s">
        <v>7</v>
      </c>
      <c r="D300" s="22">
        <v>888.02</v>
      </c>
      <c r="E300" s="18" t="s">
        <v>590</v>
      </c>
      <c r="F300" t="s">
        <v>151</v>
      </c>
    </row>
    <row r="301" spans="1:6">
      <c r="A301" s="7" t="s">
        <v>498</v>
      </c>
      <c r="B301" s="21">
        <v>46163</v>
      </c>
      <c r="C301" s="11" t="s">
        <v>454</v>
      </c>
      <c r="D301" s="22">
        <v>2050.9499999999998</v>
      </c>
      <c r="E301" s="18" t="s">
        <v>590</v>
      </c>
      <c r="F301" t="s">
        <v>151</v>
      </c>
    </row>
    <row r="302" spans="1:6">
      <c r="A302" s="7" t="s">
        <v>499</v>
      </c>
      <c r="B302" s="21">
        <v>46163</v>
      </c>
      <c r="C302" s="11" t="s">
        <v>454</v>
      </c>
      <c r="D302" s="22">
        <v>2378.2600000000002</v>
      </c>
      <c r="E302" s="18" t="s">
        <v>590</v>
      </c>
      <c r="F302" t="s">
        <v>151</v>
      </c>
    </row>
    <row r="303" spans="1:6">
      <c r="A303" s="5" t="s">
        <v>500</v>
      </c>
      <c r="B303" s="21">
        <v>46163</v>
      </c>
      <c r="C303" s="6" t="s">
        <v>455</v>
      </c>
      <c r="D303" s="31">
        <v>248.44</v>
      </c>
      <c r="E303" s="18" t="s">
        <v>590</v>
      </c>
      <c r="F303" t="s">
        <v>151</v>
      </c>
    </row>
    <row r="304" spans="1:6">
      <c r="A304" s="5" t="s">
        <v>501</v>
      </c>
      <c r="B304" s="21">
        <v>46163</v>
      </c>
      <c r="C304" s="6" t="s">
        <v>456</v>
      </c>
      <c r="D304" s="31">
        <v>103.3</v>
      </c>
      <c r="E304" s="18" t="s">
        <v>590</v>
      </c>
      <c r="F304" t="s">
        <v>151</v>
      </c>
    </row>
    <row r="305" spans="1:6">
      <c r="A305" s="5" t="s">
        <v>502</v>
      </c>
      <c r="B305" s="21">
        <v>46163</v>
      </c>
      <c r="C305" s="6" t="s">
        <v>457</v>
      </c>
      <c r="D305" s="31">
        <v>438</v>
      </c>
      <c r="E305" s="18" t="s">
        <v>590</v>
      </c>
      <c r="F305" t="s">
        <v>151</v>
      </c>
    </row>
    <row r="306" spans="1:6">
      <c r="A306" s="5" t="s">
        <v>503</v>
      </c>
      <c r="B306" s="21">
        <v>46163</v>
      </c>
      <c r="C306" s="6" t="s">
        <v>458</v>
      </c>
      <c r="D306" s="31">
        <v>176.98</v>
      </c>
      <c r="E306" s="18" t="s">
        <v>590</v>
      </c>
      <c r="F306" t="s">
        <v>151</v>
      </c>
    </row>
    <row r="307" spans="1:6" ht="24">
      <c r="A307" s="5" t="s">
        <v>504</v>
      </c>
      <c r="B307" s="21">
        <v>46163</v>
      </c>
      <c r="C307" s="6" t="s">
        <v>459</v>
      </c>
      <c r="D307" s="31">
        <v>212</v>
      </c>
      <c r="E307" s="18" t="s">
        <v>590</v>
      </c>
      <c r="F307" t="s">
        <v>151</v>
      </c>
    </row>
    <row r="308" spans="1:6" ht="24">
      <c r="A308" s="7" t="s">
        <v>505</v>
      </c>
      <c r="B308" s="21">
        <v>46163</v>
      </c>
      <c r="C308" s="11" t="s">
        <v>460</v>
      </c>
      <c r="D308" s="22">
        <v>5000</v>
      </c>
      <c r="E308" s="18" t="s">
        <v>590</v>
      </c>
      <c r="F308" t="s">
        <v>151</v>
      </c>
    </row>
    <row r="309" spans="1:6">
      <c r="A309" s="7" t="s">
        <v>506</v>
      </c>
      <c r="B309" s="21">
        <v>46163</v>
      </c>
      <c r="C309" s="6" t="s">
        <v>19</v>
      </c>
      <c r="D309" s="31">
        <v>892.58</v>
      </c>
      <c r="E309" s="18" t="s">
        <v>589</v>
      </c>
      <c r="F309" t="s">
        <v>151</v>
      </c>
    </row>
    <row r="310" spans="1:6">
      <c r="A310" s="7" t="s">
        <v>507</v>
      </c>
      <c r="B310" s="21">
        <v>46163</v>
      </c>
      <c r="C310" s="6" t="s">
        <v>40</v>
      </c>
      <c r="D310" s="31">
        <v>1027.5</v>
      </c>
      <c r="E310" s="18" t="s">
        <v>589</v>
      </c>
      <c r="F310" t="s">
        <v>151</v>
      </c>
    </row>
    <row r="311" spans="1:6">
      <c r="A311" s="5" t="s">
        <v>508</v>
      </c>
      <c r="B311" s="21">
        <v>46163</v>
      </c>
      <c r="C311" s="6" t="s">
        <v>461</v>
      </c>
      <c r="D311" s="31">
        <v>9231</v>
      </c>
      <c r="E311" s="18" t="s">
        <v>590</v>
      </c>
      <c r="F311" t="s">
        <v>151</v>
      </c>
    </row>
    <row r="312" spans="1:6">
      <c r="A312" s="5" t="s">
        <v>509</v>
      </c>
      <c r="B312" s="21">
        <v>46163</v>
      </c>
      <c r="C312" s="6" t="s">
        <v>462</v>
      </c>
      <c r="D312" s="31">
        <v>4500</v>
      </c>
      <c r="E312" s="18" t="s">
        <v>590</v>
      </c>
      <c r="F312" t="s">
        <v>151</v>
      </c>
    </row>
    <row r="313" spans="1:6">
      <c r="A313" s="7" t="s">
        <v>510</v>
      </c>
      <c r="B313" s="21">
        <v>46163</v>
      </c>
      <c r="C313" s="6" t="s">
        <v>463</v>
      </c>
      <c r="D313" s="31">
        <v>3502</v>
      </c>
      <c r="E313" s="18" t="s">
        <v>590</v>
      </c>
      <c r="F313" t="s">
        <v>151</v>
      </c>
    </row>
    <row r="314" spans="1:6" ht="24">
      <c r="A314" s="9" t="s">
        <v>511</v>
      </c>
      <c r="B314" s="21">
        <v>46164</v>
      </c>
      <c r="C314" s="6" t="s">
        <v>14</v>
      </c>
      <c r="D314" s="31">
        <v>204.45</v>
      </c>
      <c r="E314" s="18" t="s">
        <v>590</v>
      </c>
      <c r="F314" t="s">
        <v>151</v>
      </c>
    </row>
    <row r="315" spans="1:6" ht="24">
      <c r="A315" s="9" t="s">
        <v>512</v>
      </c>
      <c r="B315" s="16">
        <v>46164</v>
      </c>
      <c r="C315" s="6" t="s">
        <v>14</v>
      </c>
      <c r="D315" s="31">
        <v>375.3</v>
      </c>
      <c r="E315" s="18" t="s">
        <v>590</v>
      </c>
      <c r="F315" t="s">
        <v>151</v>
      </c>
    </row>
    <row r="316" spans="1:6">
      <c r="A316" s="9" t="s">
        <v>525</v>
      </c>
      <c r="B316" s="16">
        <v>46164</v>
      </c>
      <c r="C316" s="6" t="s">
        <v>448</v>
      </c>
      <c r="D316" s="31">
        <v>510.5</v>
      </c>
      <c r="E316" s="18" t="s">
        <v>590</v>
      </c>
      <c r="F316" t="s">
        <v>151</v>
      </c>
    </row>
    <row r="317" spans="1:6">
      <c r="A317" s="9" t="s">
        <v>526</v>
      </c>
      <c r="B317" s="16">
        <v>46164</v>
      </c>
      <c r="C317" s="6" t="s">
        <v>162</v>
      </c>
      <c r="D317" s="31">
        <v>640.74</v>
      </c>
      <c r="E317" s="18" t="s">
        <v>590</v>
      </c>
      <c r="F317" t="s">
        <v>151</v>
      </c>
    </row>
    <row r="318" spans="1:6">
      <c r="A318" s="9" t="s">
        <v>527</v>
      </c>
      <c r="B318" s="16">
        <v>46164</v>
      </c>
      <c r="C318" s="6" t="s">
        <v>159</v>
      </c>
      <c r="D318" s="31">
        <v>320</v>
      </c>
      <c r="E318" s="18" t="s">
        <v>590</v>
      </c>
      <c r="F318" t="s">
        <v>151</v>
      </c>
    </row>
    <row r="319" spans="1:6">
      <c r="A319" s="9" t="s">
        <v>528</v>
      </c>
      <c r="B319" s="16">
        <v>46164</v>
      </c>
      <c r="C319" s="6" t="s">
        <v>160</v>
      </c>
      <c r="D319" s="31">
        <v>220</v>
      </c>
      <c r="E319" s="18" t="s">
        <v>590</v>
      </c>
      <c r="F319" t="s">
        <v>151</v>
      </c>
    </row>
    <row r="320" spans="1:6">
      <c r="A320" s="9" t="s">
        <v>529</v>
      </c>
      <c r="B320" s="16">
        <v>46164</v>
      </c>
      <c r="C320" s="6" t="s">
        <v>159</v>
      </c>
      <c r="D320" s="31">
        <v>256</v>
      </c>
      <c r="E320" s="18" t="s">
        <v>590</v>
      </c>
      <c r="F320" t="s">
        <v>151</v>
      </c>
    </row>
    <row r="321" spans="1:6">
      <c r="A321" s="9" t="s">
        <v>530</v>
      </c>
      <c r="B321" s="16">
        <v>46164</v>
      </c>
      <c r="C321" s="6" t="s">
        <v>276</v>
      </c>
      <c r="D321" s="31">
        <v>150</v>
      </c>
      <c r="E321" s="18" t="s">
        <v>590</v>
      </c>
      <c r="F321" t="s">
        <v>151</v>
      </c>
    </row>
    <row r="322" spans="1:6">
      <c r="A322" s="9" t="s">
        <v>531</v>
      </c>
      <c r="B322" s="16">
        <v>46164</v>
      </c>
      <c r="C322" s="6" t="s">
        <v>36</v>
      </c>
      <c r="D322" s="31">
        <v>472.87</v>
      </c>
      <c r="E322" s="18" t="s">
        <v>590</v>
      </c>
      <c r="F322" t="s">
        <v>151</v>
      </c>
    </row>
    <row r="323" spans="1:6">
      <c r="A323" s="9" t="s">
        <v>532</v>
      </c>
      <c r="B323" s="16">
        <v>46164</v>
      </c>
      <c r="C323" s="6" t="s">
        <v>516</v>
      </c>
      <c r="D323" s="31">
        <v>20292.88</v>
      </c>
      <c r="E323" s="18" t="s">
        <v>590</v>
      </c>
      <c r="F323" t="s">
        <v>151</v>
      </c>
    </row>
    <row r="324" spans="1:6">
      <c r="A324" s="9" t="s">
        <v>513</v>
      </c>
      <c r="B324" s="16">
        <v>46167</v>
      </c>
      <c r="C324" s="18" t="s">
        <v>7</v>
      </c>
      <c r="D324" s="22">
        <v>1223.42</v>
      </c>
      <c r="E324" s="18" t="s">
        <v>590</v>
      </c>
      <c r="F324" t="s">
        <v>151</v>
      </c>
    </row>
    <row r="325" spans="1:6">
      <c r="A325" s="9" t="s">
        <v>533</v>
      </c>
      <c r="B325" s="16">
        <v>46167</v>
      </c>
      <c r="C325" s="18" t="s">
        <v>36</v>
      </c>
      <c r="D325" s="22">
        <v>6676.65</v>
      </c>
      <c r="E325" s="18" t="s">
        <v>589</v>
      </c>
      <c r="F325" t="s">
        <v>151</v>
      </c>
    </row>
    <row r="326" spans="1:6" ht="24">
      <c r="A326" s="5" t="s">
        <v>534</v>
      </c>
      <c r="B326" s="16">
        <v>46167</v>
      </c>
      <c r="C326" s="23" t="s">
        <v>272</v>
      </c>
      <c r="D326" s="31">
        <v>8901.16</v>
      </c>
      <c r="E326" s="18" t="s">
        <v>589</v>
      </c>
      <c r="F326" t="s">
        <v>151</v>
      </c>
    </row>
    <row r="327" spans="1:6">
      <c r="A327" s="5" t="s">
        <v>535</v>
      </c>
      <c r="B327" s="16">
        <v>46167</v>
      </c>
      <c r="C327" s="23" t="s">
        <v>173</v>
      </c>
      <c r="D327" s="31">
        <v>261.08999999999997</v>
      </c>
      <c r="E327" s="18" t="s">
        <v>590</v>
      </c>
      <c r="F327" t="s">
        <v>151</v>
      </c>
    </row>
    <row r="328" spans="1:6">
      <c r="A328" s="5" t="s">
        <v>548</v>
      </c>
      <c r="B328" s="16">
        <v>46167</v>
      </c>
      <c r="C328" s="23" t="s">
        <v>19</v>
      </c>
      <c r="D328" s="31">
        <v>500.03</v>
      </c>
      <c r="E328" s="18" t="s">
        <v>590</v>
      </c>
      <c r="F328" t="s">
        <v>151</v>
      </c>
    </row>
    <row r="329" spans="1:6">
      <c r="A329" s="5" t="s">
        <v>549</v>
      </c>
      <c r="B329" s="16">
        <v>46167</v>
      </c>
      <c r="C329" s="23" t="s">
        <v>40</v>
      </c>
      <c r="D329" s="31">
        <v>1155.8499999999999</v>
      </c>
      <c r="E329" s="18" t="s">
        <v>590</v>
      </c>
      <c r="F329" t="s">
        <v>151</v>
      </c>
    </row>
    <row r="330" spans="1:6">
      <c r="A330" s="5" t="s">
        <v>550</v>
      </c>
      <c r="B330" s="16">
        <v>46167</v>
      </c>
      <c r="C330" s="23" t="s">
        <v>517</v>
      </c>
      <c r="D330" s="31">
        <v>115</v>
      </c>
      <c r="E330" s="18" t="s">
        <v>590</v>
      </c>
      <c r="F330" t="s">
        <v>151</v>
      </c>
    </row>
    <row r="331" spans="1:6" ht="20.399999999999999">
      <c r="A331" s="5" t="s">
        <v>551</v>
      </c>
      <c r="B331" s="16">
        <v>46167</v>
      </c>
      <c r="C331" s="26" t="s">
        <v>518</v>
      </c>
      <c r="D331" s="31">
        <v>3000</v>
      </c>
      <c r="E331" s="18" t="s">
        <v>590</v>
      </c>
      <c r="F331" t="s">
        <v>151</v>
      </c>
    </row>
    <row r="332" spans="1:6" ht="20.399999999999999">
      <c r="A332" s="9" t="s">
        <v>552</v>
      </c>
      <c r="B332" s="16">
        <v>46167</v>
      </c>
      <c r="C332" s="26" t="s">
        <v>518</v>
      </c>
      <c r="D332" s="22">
        <v>2000</v>
      </c>
      <c r="E332" s="18" t="s">
        <v>590</v>
      </c>
      <c r="F332" t="s">
        <v>151</v>
      </c>
    </row>
    <row r="333" spans="1:6">
      <c r="A333" s="9" t="s">
        <v>553</v>
      </c>
      <c r="B333" s="16">
        <v>46167</v>
      </c>
      <c r="C333" s="17" t="s">
        <v>554</v>
      </c>
      <c r="D333" s="22">
        <v>2000</v>
      </c>
      <c r="E333" s="18" t="s">
        <v>590</v>
      </c>
      <c r="F333" t="s">
        <v>151</v>
      </c>
    </row>
    <row r="334" spans="1:6">
      <c r="A334" s="9" t="s">
        <v>555</v>
      </c>
      <c r="B334" s="16">
        <v>46167</v>
      </c>
      <c r="C334" s="17" t="s">
        <v>519</v>
      </c>
      <c r="D334" s="22">
        <v>5000</v>
      </c>
      <c r="E334" s="18" t="s">
        <v>590</v>
      </c>
      <c r="F334" t="s">
        <v>151</v>
      </c>
    </row>
    <row r="335" spans="1:6">
      <c r="A335" s="9" t="s">
        <v>556</v>
      </c>
      <c r="B335" s="16">
        <v>46167</v>
      </c>
      <c r="C335" s="17" t="s">
        <v>520</v>
      </c>
      <c r="D335" s="22">
        <v>4500</v>
      </c>
      <c r="E335" s="18" t="s">
        <v>590</v>
      </c>
      <c r="F335" t="s">
        <v>151</v>
      </c>
    </row>
    <row r="336" spans="1:6">
      <c r="A336" s="9" t="s">
        <v>557</v>
      </c>
      <c r="B336" s="16">
        <v>46167</v>
      </c>
      <c r="C336" s="17" t="s">
        <v>521</v>
      </c>
      <c r="D336" s="22">
        <v>4582</v>
      </c>
      <c r="E336" s="18" t="s">
        <v>590</v>
      </c>
      <c r="F336" t="s">
        <v>151</v>
      </c>
    </row>
    <row r="337" spans="1:6">
      <c r="A337" s="9" t="s">
        <v>558</v>
      </c>
      <c r="B337" s="16">
        <v>46167</v>
      </c>
      <c r="C337" s="17" t="s">
        <v>522</v>
      </c>
      <c r="D337" s="22">
        <v>4582</v>
      </c>
      <c r="E337" s="18" t="s">
        <v>590</v>
      </c>
      <c r="F337" t="s">
        <v>151</v>
      </c>
    </row>
    <row r="338" spans="1:6">
      <c r="A338" s="9" t="s">
        <v>559</v>
      </c>
      <c r="B338" s="16">
        <v>46167</v>
      </c>
      <c r="C338" s="17" t="s">
        <v>523</v>
      </c>
      <c r="D338" s="22">
        <v>1400</v>
      </c>
      <c r="E338" s="18" t="s">
        <v>590</v>
      </c>
      <c r="F338" t="s">
        <v>151</v>
      </c>
    </row>
    <row r="339" spans="1:6">
      <c r="A339" s="9" t="s">
        <v>560</v>
      </c>
      <c r="B339" s="16">
        <v>46167</v>
      </c>
      <c r="C339" s="17" t="s">
        <v>18</v>
      </c>
      <c r="D339" s="22">
        <v>50</v>
      </c>
      <c r="E339" s="18" t="s">
        <v>590</v>
      </c>
      <c r="F339" t="s">
        <v>151</v>
      </c>
    </row>
    <row r="340" spans="1:6">
      <c r="A340" s="9" t="s">
        <v>561</v>
      </c>
      <c r="B340" s="10">
        <v>46168</v>
      </c>
      <c r="C340" s="17" t="s">
        <v>7</v>
      </c>
      <c r="D340" s="22">
        <v>1110.04</v>
      </c>
      <c r="E340" s="18" t="s">
        <v>590</v>
      </c>
      <c r="F340" t="s">
        <v>151</v>
      </c>
    </row>
    <row r="341" spans="1:6">
      <c r="A341" s="9" t="s">
        <v>562</v>
      </c>
      <c r="B341" s="10">
        <v>46168</v>
      </c>
      <c r="C341" s="17" t="s">
        <v>7</v>
      </c>
      <c r="D341" s="22">
        <v>1934.35</v>
      </c>
      <c r="E341" s="18" t="s">
        <v>590</v>
      </c>
      <c r="F341" t="s">
        <v>151</v>
      </c>
    </row>
    <row r="342" spans="1:6">
      <c r="A342" s="5" t="s">
        <v>563</v>
      </c>
      <c r="B342" s="10">
        <v>46168</v>
      </c>
      <c r="C342" s="17" t="s">
        <v>536</v>
      </c>
      <c r="D342" s="31">
        <v>7431.1</v>
      </c>
      <c r="E342" s="18" t="s">
        <v>590</v>
      </c>
      <c r="F342" t="s">
        <v>151</v>
      </c>
    </row>
    <row r="343" spans="1:6">
      <c r="A343" s="5" t="s">
        <v>564</v>
      </c>
      <c r="B343" s="10">
        <v>46168</v>
      </c>
      <c r="C343" s="17" t="s">
        <v>537</v>
      </c>
      <c r="D343" s="31">
        <v>5000</v>
      </c>
      <c r="E343" s="18" t="s">
        <v>590</v>
      </c>
      <c r="F343" t="s">
        <v>151</v>
      </c>
    </row>
    <row r="344" spans="1:6">
      <c r="A344" s="5" t="s">
        <v>565</v>
      </c>
      <c r="B344" s="10">
        <v>46168</v>
      </c>
      <c r="C344" s="17" t="s">
        <v>538</v>
      </c>
      <c r="D344" s="31">
        <v>3689.5</v>
      </c>
      <c r="E344" s="18" t="s">
        <v>590</v>
      </c>
      <c r="F344" t="s">
        <v>151</v>
      </c>
    </row>
    <row r="345" spans="1:6">
      <c r="A345" s="5" t="s">
        <v>566</v>
      </c>
      <c r="B345" s="10">
        <v>46168</v>
      </c>
      <c r="C345" s="6" t="s">
        <v>539</v>
      </c>
      <c r="D345" s="31">
        <v>8972.5</v>
      </c>
      <c r="E345" s="18" t="s">
        <v>590</v>
      </c>
      <c r="F345" t="s">
        <v>151</v>
      </c>
    </row>
    <row r="346" spans="1:6">
      <c r="A346" s="5" t="s">
        <v>567</v>
      </c>
      <c r="B346" s="10">
        <v>46168</v>
      </c>
      <c r="C346" s="6" t="s">
        <v>540</v>
      </c>
      <c r="D346" s="31">
        <v>8821.85</v>
      </c>
      <c r="E346" s="18" t="s">
        <v>590</v>
      </c>
      <c r="F346" t="s">
        <v>151</v>
      </c>
    </row>
    <row r="347" spans="1:6">
      <c r="A347" s="5" t="s">
        <v>568</v>
      </c>
      <c r="B347" s="10">
        <v>46168</v>
      </c>
      <c r="C347" s="6" t="s">
        <v>541</v>
      </c>
      <c r="D347" s="31">
        <v>2650</v>
      </c>
      <c r="E347" s="18" t="s">
        <v>590</v>
      </c>
      <c r="F347" t="s">
        <v>151</v>
      </c>
    </row>
    <row r="348" spans="1:6">
      <c r="A348" s="5" t="s">
        <v>569</v>
      </c>
      <c r="B348" s="10">
        <v>46168</v>
      </c>
      <c r="C348" s="6" t="s">
        <v>542</v>
      </c>
      <c r="D348" s="31">
        <v>5200</v>
      </c>
      <c r="E348" s="18" t="s">
        <v>590</v>
      </c>
      <c r="F348" t="s">
        <v>151</v>
      </c>
    </row>
    <row r="349" spans="1:6">
      <c r="A349" s="5" t="s">
        <v>570</v>
      </c>
      <c r="B349" s="10">
        <v>46168</v>
      </c>
      <c r="C349" s="6" t="s">
        <v>543</v>
      </c>
      <c r="D349" s="31">
        <v>4680</v>
      </c>
      <c r="E349" s="18" t="s">
        <v>590</v>
      </c>
      <c r="F349" t="s">
        <v>151</v>
      </c>
    </row>
    <row r="350" spans="1:6">
      <c r="A350" s="5" t="s">
        <v>571</v>
      </c>
      <c r="B350" s="10">
        <v>46168</v>
      </c>
      <c r="C350" s="6" t="s">
        <v>544</v>
      </c>
      <c r="D350" s="31">
        <v>5217</v>
      </c>
      <c r="E350" s="18" t="s">
        <v>590</v>
      </c>
      <c r="F350" t="s">
        <v>151</v>
      </c>
    </row>
    <row r="351" spans="1:6">
      <c r="A351" s="5" t="s">
        <v>572</v>
      </c>
      <c r="B351" s="10">
        <v>46168</v>
      </c>
      <c r="C351" s="17" t="s">
        <v>545</v>
      </c>
      <c r="D351" s="31">
        <v>10584</v>
      </c>
      <c r="E351" s="18" t="s">
        <v>590</v>
      </c>
      <c r="F351" t="s">
        <v>151</v>
      </c>
    </row>
    <row r="352" spans="1:6">
      <c r="A352" s="9" t="s">
        <v>573</v>
      </c>
      <c r="B352" s="10">
        <v>46168</v>
      </c>
      <c r="C352" s="6" t="s">
        <v>546</v>
      </c>
      <c r="D352" s="22">
        <v>4504.5</v>
      </c>
      <c r="E352" s="18" t="s">
        <v>590</v>
      </c>
      <c r="F352" t="s">
        <v>151</v>
      </c>
    </row>
    <row r="353" spans="1:6">
      <c r="A353" s="5" t="s">
        <v>574</v>
      </c>
      <c r="B353" s="10">
        <v>46168</v>
      </c>
      <c r="C353" s="23" t="s">
        <v>19</v>
      </c>
      <c r="D353" s="31">
        <v>515</v>
      </c>
      <c r="E353" s="34" t="s">
        <v>590</v>
      </c>
      <c r="F353" t="s">
        <v>151</v>
      </c>
    </row>
    <row r="354" spans="1:6">
      <c r="A354" s="5" t="s">
        <v>575</v>
      </c>
      <c r="B354" s="10">
        <v>46168</v>
      </c>
      <c r="C354" s="18" t="s">
        <v>46</v>
      </c>
      <c r="D354" s="22">
        <v>314.23</v>
      </c>
      <c r="E354" s="18" t="s">
        <v>590</v>
      </c>
      <c r="F354" t="s">
        <v>151</v>
      </c>
    </row>
    <row r="355" spans="1:6">
      <c r="A355" s="5" t="s">
        <v>576</v>
      </c>
      <c r="B355" s="10">
        <v>46168</v>
      </c>
      <c r="C355" s="18" t="s">
        <v>34</v>
      </c>
      <c r="D355" s="22">
        <v>30.69</v>
      </c>
      <c r="E355" s="18" t="s">
        <v>589</v>
      </c>
      <c r="F355" t="s">
        <v>151</v>
      </c>
    </row>
    <row r="356" spans="1:6">
      <c r="A356" s="5" t="s">
        <v>577</v>
      </c>
      <c r="B356" s="10">
        <v>46168</v>
      </c>
      <c r="C356" s="18" t="s">
        <v>448</v>
      </c>
      <c r="D356" s="22">
        <v>1000</v>
      </c>
      <c r="E356" s="18" t="s">
        <v>589</v>
      </c>
      <c r="F356" t="s">
        <v>151</v>
      </c>
    </row>
    <row r="357" spans="1:6">
      <c r="A357" s="5" t="s">
        <v>578</v>
      </c>
      <c r="B357" s="10">
        <v>46169</v>
      </c>
      <c r="C357" s="6" t="s">
        <v>7</v>
      </c>
      <c r="D357" s="31">
        <v>1294.17</v>
      </c>
      <c r="E357" s="18" t="s">
        <v>590</v>
      </c>
      <c r="F357" t="s">
        <v>151</v>
      </c>
    </row>
    <row r="358" spans="1:6">
      <c r="A358" s="5" t="s">
        <v>579</v>
      </c>
      <c r="B358" s="10">
        <v>46169</v>
      </c>
      <c r="C358" s="11" t="s">
        <v>24</v>
      </c>
      <c r="D358" s="31">
        <v>600</v>
      </c>
      <c r="E358" s="18" t="s">
        <v>590</v>
      </c>
      <c r="F358" t="s">
        <v>151</v>
      </c>
    </row>
    <row r="359" spans="1:6">
      <c r="A359" s="5" t="s">
        <v>580</v>
      </c>
      <c r="B359" s="10">
        <v>46169</v>
      </c>
      <c r="C359" s="11" t="s">
        <v>24</v>
      </c>
      <c r="D359" s="31">
        <v>153.54</v>
      </c>
      <c r="E359" s="18" t="s">
        <v>590</v>
      </c>
      <c r="F359" t="s">
        <v>151</v>
      </c>
    </row>
    <row r="360" spans="1:6">
      <c r="A360" s="5" t="s">
        <v>581</v>
      </c>
      <c r="B360" s="10">
        <v>46169</v>
      </c>
      <c r="C360" s="6" t="s">
        <v>547</v>
      </c>
      <c r="D360" s="31">
        <v>5288.79</v>
      </c>
      <c r="E360" s="18" t="s">
        <v>590</v>
      </c>
      <c r="F360" t="s">
        <v>151</v>
      </c>
    </row>
    <row r="361" spans="1:6">
      <c r="A361" s="7" t="s">
        <v>583</v>
      </c>
      <c r="B361" s="10">
        <v>46169</v>
      </c>
      <c r="C361" s="8" t="s">
        <v>582</v>
      </c>
      <c r="D361" s="32">
        <v>18187.98</v>
      </c>
      <c r="E361" s="18" t="s">
        <v>590</v>
      </c>
      <c r="F361" t="s">
        <v>151</v>
      </c>
    </row>
    <row r="362" spans="1:6">
      <c r="A362" s="5" t="s">
        <v>584</v>
      </c>
      <c r="B362" s="10">
        <v>46169</v>
      </c>
      <c r="C362" s="8" t="s">
        <v>449</v>
      </c>
      <c r="D362" s="31">
        <v>500</v>
      </c>
      <c r="E362" s="18" t="s">
        <v>589</v>
      </c>
      <c r="F362" t="s">
        <v>151</v>
      </c>
    </row>
    <row r="363" spans="1:6">
      <c r="A363" s="5"/>
      <c r="B363" s="10">
        <v>46169</v>
      </c>
      <c r="C363" s="26" t="s">
        <v>585</v>
      </c>
      <c r="D363" s="33">
        <v>5784</v>
      </c>
      <c r="E363" t="s">
        <v>590</v>
      </c>
      <c r="F363" t="s">
        <v>151</v>
      </c>
    </row>
    <row r="364" spans="1:6" ht="20.399999999999999">
      <c r="A364" s="5"/>
      <c r="B364" s="10">
        <v>46169</v>
      </c>
      <c r="C364" s="26" t="s">
        <v>586</v>
      </c>
      <c r="D364" s="31">
        <v>5000</v>
      </c>
      <c r="E364" s="18" t="s">
        <v>590</v>
      </c>
      <c r="F364" t="s">
        <v>151</v>
      </c>
    </row>
    <row r="365" spans="1:6">
      <c r="A365" s="5"/>
      <c r="B365" s="10">
        <v>46169</v>
      </c>
      <c r="C365" s="11" t="s">
        <v>587</v>
      </c>
      <c r="D365" s="31">
        <v>3500</v>
      </c>
      <c r="E365" s="18" t="s">
        <v>590</v>
      </c>
      <c r="F365" t="s">
        <v>151</v>
      </c>
    </row>
    <row r="366" spans="1:6" ht="20.399999999999999">
      <c r="A366" s="7"/>
      <c r="B366" s="10">
        <v>46169</v>
      </c>
      <c r="C366" s="26" t="s">
        <v>588</v>
      </c>
      <c r="D366" s="32">
        <v>4686</v>
      </c>
      <c r="E366" s="18" t="s">
        <v>590</v>
      </c>
      <c r="F366" t="s">
        <v>151</v>
      </c>
    </row>
    <row r="367" spans="1:6">
      <c r="A367" s="7"/>
      <c r="B367" s="16">
        <v>46170</v>
      </c>
      <c r="C367" s="11" t="s">
        <v>7</v>
      </c>
      <c r="D367" s="31">
        <v>1115.73</v>
      </c>
      <c r="E367" s="18" t="s">
        <v>590</v>
      </c>
      <c r="F367" t="s">
        <v>151</v>
      </c>
    </row>
    <row r="368" spans="1:6">
      <c r="A368" s="25"/>
      <c r="B368" s="53">
        <v>46149</v>
      </c>
      <c r="C368" s="26" t="s">
        <v>157</v>
      </c>
      <c r="D368" s="33">
        <v>1125</v>
      </c>
      <c r="E368" s="24" t="s">
        <v>590</v>
      </c>
      <c r="F368" t="s">
        <v>152</v>
      </c>
    </row>
    <row r="369" spans="1:6">
      <c r="A369" s="25"/>
      <c r="B369" s="53">
        <v>46154</v>
      </c>
      <c r="C369" s="26" t="s">
        <v>169</v>
      </c>
      <c r="D369" s="33">
        <v>3000</v>
      </c>
      <c r="E369" s="24" t="s">
        <v>590</v>
      </c>
      <c r="F369" t="s">
        <v>152</v>
      </c>
    </row>
    <row r="370" spans="1:6">
      <c r="A370" s="25"/>
      <c r="B370" s="53">
        <v>46156</v>
      </c>
      <c r="C370" s="26" t="s">
        <v>246</v>
      </c>
      <c r="D370" s="33">
        <v>316.83</v>
      </c>
      <c r="E370" s="24" t="s">
        <v>591</v>
      </c>
      <c r="F370" t="s">
        <v>152</v>
      </c>
    </row>
    <row r="371" spans="1:6">
      <c r="A371" s="25"/>
      <c r="B371" s="53">
        <v>46156</v>
      </c>
      <c r="C371" s="26" t="s">
        <v>247</v>
      </c>
      <c r="D371" s="33">
        <v>71.72</v>
      </c>
      <c r="E371" s="24" t="s">
        <v>591</v>
      </c>
      <c r="F371" t="s">
        <v>152</v>
      </c>
    </row>
    <row r="372" spans="1:6">
      <c r="A372" s="25"/>
      <c r="B372" s="53">
        <v>46156</v>
      </c>
      <c r="C372" s="26" t="s">
        <v>248</v>
      </c>
      <c r="D372" s="33">
        <v>98.57</v>
      </c>
      <c r="E372" s="24" t="s">
        <v>591</v>
      </c>
      <c r="F372" t="s">
        <v>152</v>
      </c>
    </row>
    <row r="373" spans="1:6">
      <c r="A373" s="25"/>
      <c r="B373" s="53">
        <v>46160</v>
      </c>
      <c r="C373" s="26" t="s">
        <v>267</v>
      </c>
      <c r="D373" s="33">
        <v>106.64</v>
      </c>
      <c r="E373" s="24" t="s">
        <v>591</v>
      </c>
      <c r="F373" t="s">
        <v>152</v>
      </c>
    </row>
    <row r="374" spans="1:6">
      <c r="A374" s="25"/>
      <c r="B374" s="53">
        <v>46160</v>
      </c>
      <c r="C374" s="26" t="s">
        <v>299</v>
      </c>
      <c r="D374" s="33">
        <v>1571.09</v>
      </c>
      <c r="E374" s="42" t="s">
        <v>591</v>
      </c>
      <c r="F374" t="s">
        <v>152</v>
      </c>
    </row>
    <row r="375" spans="1:6">
      <c r="A375" s="25"/>
      <c r="B375" s="53">
        <v>46160</v>
      </c>
      <c r="C375" s="26" t="s">
        <v>299</v>
      </c>
      <c r="D375" s="33">
        <v>1571.09</v>
      </c>
      <c r="E375" s="42" t="s">
        <v>590</v>
      </c>
      <c r="F375" t="s">
        <v>152</v>
      </c>
    </row>
    <row r="376" spans="1:6">
      <c r="A376" s="25"/>
      <c r="B376" s="53">
        <v>46160</v>
      </c>
      <c r="C376" s="26" t="s">
        <v>451</v>
      </c>
      <c r="D376" s="33">
        <v>800</v>
      </c>
      <c r="E376" s="24" t="s">
        <v>591</v>
      </c>
      <c r="F376" t="s">
        <v>152</v>
      </c>
    </row>
    <row r="377" spans="1:6">
      <c r="A377" s="25"/>
      <c r="B377" s="53">
        <v>46162</v>
      </c>
      <c r="C377" s="26" t="s">
        <v>448</v>
      </c>
      <c r="D377" s="33">
        <v>255.08</v>
      </c>
      <c r="E377" s="24" t="s">
        <v>589</v>
      </c>
      <c r="F377" t="s">
        <v>152</v>
      </c>
    </row>
    <row r="378" spans="1:6">
      <c r="A378" s="25"/>
      <c r="B378" s="53">
        <v>46156</v>
      </c>
      <c r="C378" s="26" t="s">
        <v>258</v>
      </c>
      <c r="D378" s="33">
        <v>29.96</v>
      </c>
      <c r="E378" s="18" t="s">
        <v>589</v>
      </c>
      <c r="F378" t="s">
        <v>152</v>
      </c>
    </row>
    <row r="379" spans="1:6">
      <c r="A379" s="54"/>
      <c r="B379" s="55">
        <v>46167</v>
      </c>
      <c r="C379" s="56" t="s">
        <v>514</v>
      </c>
      <c r="D379" s="57">
        <v>200</v>
      </c>
      <c r="E379" s="58" t="s">
        <v>591</v>
      </c>
      <c r="F379" t="s">
        <v>152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Planilha4</vt:lpstr>
      <vt:lpstr>Planilha5</vt:lpstr>
      <vt:lpstr>Planilha6</vt:lpstr>
      <vt:lpstr>DESPESAS - MATRIZ</vt:lpstr>
      <vt:lpstr>DESPESAS - FILIAL</vt:lpstr>
      <vt:lpstr>DASHBOARD</vt:lpstr>
      <vt:lpstr>Planilha2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Aline Gomes</cp:lastModifiedBy>
  <cp:lastPrinted>2026-06-15T23:19:50Z</cp:lastPrinted>
  <dcterms:created xsi:type="dcterms:W3CDTF">2025-08-14T12:49:00Z</dcterms:created>
  <dcterms:modified xsi:type="dcterms:W3CDTF">2026-06-15T23:37:32Z</dcterms:modified>
</cp:coreProperties>
</file>